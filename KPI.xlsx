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45" windowHeight="11460"/>
  </bookViews>
  <sheets>
    <sheet name="Senior Finance Objective KPI(2)" sheetId="5" r:id="rId1"/>
    <sheet name="Junior Finace Objectve KPI " sheetId="3" r:id="rId2"/>
    <sheet name="Showroom Head Abida" sheetId="6" r:id="rId3"/>
    <sheet name="Showroom head Nadia" sheetId="7" r:id="rId4"/>
    <sheet name="Showroom head Muna" sheetId="16" r:id="rId5"/>
    <sheet name="Hanson Showroo Head" sheetId="8" r:id="rId6"/>
    <sheet name="Wesila Digital" sheetId="9" r:id="rId7"/>
    <sheet name="አባይ ሉላ" sheetId="10" r:id="rId8"/>
    <sheet name="አብዱልፈታ ዲኖ" sheetId="11" r:id="rId9"/>
    <sheet name="ጋሻው  ታደሰ" sheetId="12" r:id="rId10"/>
    <sheet name="Sheet2" sheetId="15" r:id="rId11"/>
  </sheets>
  <definedNames>
    <definedName name="\P">#REF!</definedName>
    <definedName name="__abc1">#REF!</definedName>
    <definedName name="__abc2">#REF!</definedName>
    <definedName name="__abc3">#REF!</definedName>
    <definedName name="__abc4">#REF!</definedName>
    <definedName name="__abc5">#REF!</definedName>
    <definedName name="__abc6">#REF!</definedName>
    <definedName name="__ACC0320">#REF!</definedName>
    <definedName name="__AGE2">#REF!</definedName>
    <definedName name="__BAL0320">#REF!</definedName>
    <definedName name="__BAL0344">#REF!</definedName>
    <definedName name="__BAL0348">#REF!</definedName>
    <definedName name="__BAL0360">#REF!</definedName>
    <definedName name="__BAL0361">#REF!</definedName>
    <definedName name="__BAL0367">#REF!</definedName>
    <definedName name="__BAL0370">#REF!</definedName>
    <definedName name="__BAL0375">#REF!</definedName>
    <definedName name="__BAL0384">#REF!</definedName>
    <definedName name="__BAL0385">#REF!</definedName>
    <definedName name="__BAL0386">#REF!</definedName>
    <definedName name="__BAL0387">#REF!</definedName>
    <definedName name="__BAL0388">#REF!</definedName>
    <definedName name="__BAL0395">#REF!</definedName>
    <definedName name="__bal0397">#REF!</definedName>
    <definedName name="__BAL0399">#REF!</definedName>
    <definedName name="__BAL0400">#REF!</definedName>
    <definedName name="__BAL0810">#REF!</definedName>
    <definedName name="__BAL0811">#REF!</definedName>
    <definedName name="__BAL0815">#REF!</definedName>
    <definedName name="__BAL6791">#REF!</definedName>
    <definedName name="__BLA0811">#REF!</definedName>
    <definedName name="__ita01">#REF!</definedName>
    <definedName name="__lb01">#REF!</definedName>
    <definedName name="__PHS1">#REF!</definedName>
    <definedName name="__PHS3">#N/A</definedName>
    <definedName name="__TB1">#REF!</definedName>
    <definedName name="__til01">#REF!</definedName>
    <definedName name="__uk01">#REF!</definedName>
    <definedName name="__vsc01">#REF!</definedName>
    <definedName name="__vss01">#REF!</definedName>
    <definedName name="_abc1">#REF!</definedName>
    <definedName name="_abc2">#REF!</definedName>
    <definedName name="_abc3">#REF!</definedName>
    <definedName name="_abc4">#REF!</definedName>
    <definedName name="_abc5">#REF!</definedName>
    <definedName name="_abc6">#REF!</definedName>
    <definedName name="_ACC0320">#REF!</definedName>
    <definedName name="_AGE2">#REF!</definedName>
    <definedName name="_BAL0320">#REF!</definedName>
    <definedName name="_BAL0344">#REF!</definedName>
    <definedName name="_BAL0348">#REF!</definedName>
    <definedName name="_BAL0360">#REF!</definedName>
    <definedName name="_BAL0361">#REF!</definedName>
    <definedName name="_BAL0367">#REF!</definedName>
    <definedName name="_BAL0370">#REF!</definedName>
    <definedName name="_BAL0375">#REF!</definedName>
    <definedName name="_BAL0384">#REF!</definedName>
    <definedName name="_BAL0385">#REF!</definedName>
    <definedName name="_BAL0386">#REF!</definedName>
    <definedName name="_BAL0387">#REF!</definedName>
    <definedName name="_BAL0388">#REF!</definedName>
    <definedName name="_BAL0395">#REF!</definedName>
    <definedName name="_bal0397">#REF!</definedName>
    <definedName name="_BAL0399">#REF!</definedName>
    <definedName name="_BAL0400">#REF!</definedName>
    <definedName name="_BAL0810">#REF!</definedName>
    <definedName name="_BAL0811">#REF!</definedName>
    <definedName name="_BAL0815">#REF!</definedName>
    <definedName name="_BAL6791">#REF!</definedName>
    <definedName name="_BLA0811">#REF!</definedName>
    <definedName name="_Fill" hidden="1">#REF!</definedName>
    <definedName name="_ita01">#REF!</definedName>
    <definedName name="_Key1" hidden="1">#REF!</definedName>
    <definedName name="_Key2" hidden="1">#REF!</definedName>
    <definedName name="_lb01">#REF!</definedName>
    <definedName name="_Order1" hidden="1">255</definedName>
    <definedName name="_Order2" hidden="1">255</definedName>
    <definedName name="_PHS1">#REF!</definedName>
    <definedName name="_PHS3">#N/A</definedName>
    <definedName name="_TB1">#REF!</definedName>
    <definedName name="_til01">#REF!</definedName>
    <definedName name="_uk01">#REF!</definedName>
    <definedName name="_vsc01">#REF!</definedName>
    <definedName name="_vss01">#REF!</definedName>
    <definedName name="A">#REF!</definedName>
    <definedName name="aa">#REF!</definedName>
    <definedName name="AAA">#REF!</definedName>
    <definedName name="aaaa">#REF!</definedName>
    <definedName name="aaaaaaaaaaaa">#REF!</definedName>
    <definedName name="ab">#REF!</definedName>
    <definedName name="abc">#REF!</definedName>
    <definedName name="abxy">#REF!</definedName>
    <definedName name="Acc_List_II">#REF!</definedName>
    <definedName name="accode">#REF!</definedName>
    <definedName name="AddSTD">#REF!,#REF!,#REF!,#REF!,#REF!,#REF!,#REF!,#REF!,#REF!,#REF!,#REF!</definedName>
    <definedName name="agdump">#REF!</definedName>
    <definedName name="AGE">#REF!</definedName>
    <definedName name="agedump">#REF!</definedName>
    <definedName name="agencydump">#REF!</definedName>
    <definedName name="AGENCYLY">#REF!</definedName>
    <definedName name="AGENCYPLAN">#REF!</definedName>
    <definedName name="AI">#REF!</definedName>
    <definedName name="an">#REF!</definedName>
    <definedName name="anu">#REF!</definedName>
    <definedName name="anuja">#REF!</definedName>
    <definedName name="anujaaaaa">#REF!</definedName>
    <definedName name="Apr">#REF!</definedName>
    <definedName name="APROV">#REF!</definedName>
    <definedName name="arr">#REF!</definedName>
    <definedName name="as">#REF!</definedName>
    <definedName name="att">#REF!</definedName>
    <definedName name="Aug">#REF!</definedName>
    <definedName name="aust">#REF!</definedName>
    <definedName name="austo">#REF!</definedName>
    <definedName name="AWCONTS">#REF!</definedName>
    <definedName name="b">#REF!</definedName>
    <definedName name="BacklogErase">#REF!,#REF!,#REF!,#REF!,#REF!,#REF!,#REF!,#REF!,#REF!,#REF!,#REF!,#REF!,#REF!</definedName>
    <definedName name="Baha">#REF!</definedName>
    <definedName name="BAL03955555">#REF!</definedName>
    <definedName name="Balance_Sheet">#REF!</definedName>
    <definedName name="bang">#REF!</definedName>
    <definedName name="bb">#REF!</definedName>
    <definedName name="bbb">#REF!</definedName>
    <definedName name="BCNXT152153">#REF!</definedName>
    <definedName name="BCNXT155156">#REF!</definedName>
    <definedName name="Beg_Bal">#REF!</definedName>
    <definedName name="bgn">#REF!</definedName>
    <definedName name="BLBudgetMove">#REF!,#REF!,#REF!,#REF!,#REF!,#REF!,#REF!,#REF!,#REF!,#REF!,#REF!,#REF!</definedName>
    <definedName name="Bleaching">#REF!</definedName>
    <definedName name="BLFirstColumns">#REF!,#REF!</definedName>
    <definedName name="BLNotDecBudget">#REF!,#REF!</definedName>
    <definedName name="BLPriorSeason">#REF!,#REF!</definedName>
    <definedName name="BLProtectDown">#REF!,#REF!,#REF!,#REF!,#REF!,#REF!,#REF!,#REF!,#REF!,#REF!,#REF!,#REF!,#REF!,#REF!</definedName>
    <definedName name="BLProtectUp">#REF!,#REF!,#REF!,#REF!,#REF!,#REF!,#REF!,#REF!,#REF!,#REF!,#REF!,#REF!,#REF!</definedName>
    <definedName name="BLSTDBudget">#REF!,#REF!,#REF!,#REF!</definedName>
    <definedName name="body">#REF!,#REF!,#REF!,#REF!,#REF!,#REF!,#REF!,#REF!,#REF!,#REF!,#REF!,#REF!,#REF!,#REF!,#REF!,#REF!,#REF!,#REF!,#REF!,#REF!,#REF!</definedName>
    <definedName name="body1">#REF!,#REF!,#REF!,#REF!,#REF!,#REF!,#REF!,#REF!,#REF!,#REF!,#REF!,#REF!,#REF!,#REF!</definedName>
    <definedName name="bodybody">#REF!,#REF!,#REF!,#REF!,#REF!,#REF!,#REF!,#REF!,#REF!,#REF!,#REF!,#REF!,#REF!,#REF!,#REF!,#REF!,#REF!,#REF!,#REF!,#REF!,#REF!</definedName>
    <definedName name="BPROV">#REF!</definedName>
    <definedName name="Brand">#REF!</definedName>
    <definedName name="bscum">#REF!</definedName>
    <definedName name="BSDescrip">#REF!,#REF!,#REF!,#REF!,#REF!,#REF!,#REF!,#REF!,#REF!</definedName>
    <definedName name="bsinr">#REF!</definedName>
    <definedName name="BSProtect">#REF!,#REF!,#REF!,#REF!,#REF!,#REF!,#REF!,#REF!,#REF!,#REF!,#REF!,#REF!,#REF!,#REF!,#REF!,#REF!,#REF!,#REF!,#REF!,#REF!,#REF!,#REF!,#REF!,#REF!</definedName>
    <definedName name="bsusd">#REF!</definedName>
    <definedName name="BudgetSeason">#REF!</definedName>
    <definedName name="budmain">#REF!</definedName>
    <definedName name="BUDSALES">#REF!</definedName>
    <definedName name="buyothacc">#REF!</definedName>
    <definedName name="C_">#REF!</definedName>
    <definedName name="ca">#REF!</definedName>
    <definedName name="cac">#REF!</definedName>
    <definedName name="CalcAgencyPrice">#REF!</definedName>
    <definedName name="CAN">#REF!</definedName>
    <definedName name="CAP">#REF!</definedName>
    <definedName name="cash">#REF!</definedName>
    <definedName name="Cashflow">#REF!</definedName>
    <definedName name="catacc">#REF!</definedName>
    <definedName name="cccccccc">#N/A</definedName>
    <definedName name="cha">#REF!</definedName>
    <definedName name="cj">#REF!</definedName>
    <definedName name="CNKH131">#REF!</definedName>
    <definedName name="CNKH331">#REF!</definedName>
    <definedName name="cofother">#REF!,#REF!,#REF!,#REF!,#REF!,#REF!,#REF!,#REF!</definedName>
    <definedName name="com">#N/A</definedName>
    <definedName name="Commission">#REF!</definedName>
    <definedName name="CommPrint">#REF!</definedName>
    <definedName name="comparison">#N/A</definedName>
    <definedName name="cor">#REF!</definedName>
    <definedName name="Created">#REF!</definedName>
    <definedName name="_xlnm.Criteria">#REF!</definedName>
    <definedName name="CUM">#REF!</definedName>
    <definedName name="cumcac">#REF!</definedName>
    <definedName name="cumot">#REF!</definedName>
    <definedName name="CUMTI">#REF!</definedName>
    <definedName name="cumtil">#REF!</definedName>
    <definedName name="cumtio">#REF!</definedName>
    <definedName name="Cumulative">#REF!</definedName>
    <definedName name="cumvsc">#REF!</definedName>
    <definedName name="cumvsk">#REF!</definedName>
    <definedName name="CurrentMonthTxt">#REF!</definedName>
    <definedName name="CurrentYear">#REF!</definedName>
    <definedName name="CurrSTDStore">#REF!,#REF!,#REF!,#REF!,#REF!,#REF!,#REF!</definedName>
    <definedName name="Customer">#REF!</definedName>
    <definedName name="Cutting_Allowance">#REF!</definedName>
    <definedName name="d">#REF!</definedName>
    <definedName name="dad">#N/A</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TA">#REF!</definedName>
    <definedName name="Database">#REF!</definedName>
    <definedName name="DATE">#REF!</definedName>
    <definedName name="DaWk7">#REF!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s">#REF!</definedName>
    <definedName name="dd">#REF!</definedName>
    <definedName name="ddd">#REF!</definedName>
    <definedName name="dddd">#REF!</definedName>
    <definedName name="ddddddd">#REF!</definedName>
    <definedName name="Dec">#REF!</definedName>
    <definedName name="def">#N/A</definedName>
    <definedName name="DelDC">#REF!</definedName>
    <definedName name="DelDm">#REF!</definedName>
    <definedName name="DeleteFromBS">#REF!,#REF!,#REF!,#REF!,#REF!,#REF!,#REF!,#REF!,#REF!,#REF!,#REF!,#REF!,#REF!,#REF!,#REF!,#REF!</definedName>
    <definedName name="Delivery">#REF!</definedName>
    <definedName name="DelType">#REF!</definedName>
    <definedName name="deptLookup">#REF!</definedName>
    <definedName name="Description">#REF!</definedName>
    <definedName name="ditinvacc">#REF!</definedName>
    <definedName name="divname">#REF!</definedName>
    <definedName name="DJKSJAKDFD">#REF!</definedName>
    <definedName name="DK">#REF!</definedName>
    <definedName name="DOVEACC">#REF!</definedName>
    <definedName name="dswd">#N/A</definedName>
    <definedName name="DU">#REF!</definedName>
    <definedName name="DUB">#REF!</definedName>
    <definedName name="duba">#REF!</definedName>
    <definedName name="dumppr">#REF!</definedName>
    <definedName name="dutyacc">#REF!</definedName>
    <definedName name="DUTYACCCALC">#REF!</definedName>
    <definedName name="ee">#REF!</definedName>
    <definedName name="eee">#REF!</definedName>
    <definedName name="eeeee">#REF!</definedName>
    <definedName name="eioyhdo">#N/A</definedName>
    <definedName name="End_Bal">#REF!</definedName>
    <definedName name="ENTITIES">#REF!</definedName>
    <definedName name="entity_description">#REF!</definedName>
    <definedName name="er">#REF!</definedName>
    <definedName name="Excel_BuiltIn__FilterDatabase_1_1_1">#REF!</definedName>
    <definedName name="Excel_BuiltIn__FilterDatabase_4_1">#REF!</definedName>
    <definedName name="Exchange_Loss">#REF!</definedName>
    <definedName name="ExchRate">#REF!</definedName>
    <definedName name="Exports">#REF!</definedName>
    <definedName name="Extra_Pay">#REF!</definedName>
    <definedName name="_xlnm.Extract">#REF!</definedName>
    <definedName name="F">#REF!</definedName>
    <definedName name="FACE">#REF!</definedName>
    <definedName name="Feb">#REF!</definedName>
    <definedName name="ff">#N/A</definedName>
    <definedName name="fg">#REF!</definedName>
    <definedName name="fgrg">#N/A</definedName>
    <definedName name="fin">#REF!</definedName>
    <definedName name="Finance">#REF!</definedName>
    <definedName name="FRAN">#REF!</definedName>
    <definedName name="fsdf">#REF!</definedName>
    <definedName name="Full_Print">#REF!</definedName>
    <definedName name="g">#REF!</definedName>
    <definedName name="GA">#REF!</definedName>
    <definedName name="gac">#REF!</definedName>
    <definedName name="Gan">#REF!</definedName>
    <definedName name="GF">#REF!</definedName>
    <definedName name="gg">#N/A</definedName>
    <definedName name="ghbk">#REF!,#REF!,#REF!,#REF!,#REF!,#REF!,#REF!,#REF!,#REF!,#REF!,#REF!,#REF!,#REF!,#REF!,#REF!</definedName>
    <definedName name="ghmgf">#REF!</definedName>
    <definedName name="GIRLS">#REF!</definedName>
    <definedName name="Group_Sales">#REF!</definedName>
    <definedName name="GrphActSales">#REF!</definedName>
    <definedName name="GrphActStk">#REF!</definedName>
    <definedName name="GrphPlanSales">#REF!</definedName>
    <definedName name="GrphTgtStk">#REF!</definedName>
    <definedName name="gtggt">#N/A</definedName>
    <definedName name="gthht">#N/A</definedName>
    <definedName name="H">#REF!</definedName>
    <definedName name="Head">#REF!</definedName>
    <definedName name="Header_Row">ROW(#REF!)</definedName>
    <definedName name="hh">#REF!</definedName>
    <definedName name="htht">#N/A</definedName>
    <definedName name="i">#REF!</definedName>
    <definedName name="ia">#REF!</definedName>
    <definedName name="idcprov">#REF!</definedName>
    <definedName name="IELWSALES">#REF!</definedName>
    <definedName name="IELYSALES">#REF!</definedName>
    <definedName name="IEPLANSALES">#REF!</definedName>
    <definedName name="IESP">#REF!</definedName>
    <definedName name="ii">#N/A</definedName>
    <definedName name="IMR">#REF!</definedName>
    <definedName name="in">#REF!</definedName>
    <definedName name="INDI">#REF!</definedName>
    <definedName name="InfoProtect">#REF!,#REF!,#REF!,#REF!,#REF!,#REF!,#REF!,#REF!,#REF!,#REF!,#REF!,#REF!</definedName>
    <definedName name="Int">#REF!</definedName>
    <definedName name="Interest_Rate">#REF!</definedName>
    <definedName name="IntFreeCred">#REF!</definedName>
    <definedName name="is">#REF!</definedName>
    <definedName name="isdec">#REF!</definedName>
    <definedName name="isj">#REF!</definedName>
    <definedName name="ISMonCurrentAdj">#REF!,#REF!,#REF!,#REF!,#REF!,#REF!</definedName>
    <definedName name="ISMonDescrip">#REF!,#REF!,#REF!,#REF!,#REF!,#REF!,#REF!,#REF!,#REF!</definedName>
    <definedName name="ISMonProtect">#REF!,#REF!,#REF!,#REF!,#REF!,#REF!,#REF!,#REF!,#REF!,#REF!,#REF!,#REF!,#REF!,#REF!,#REF!,#REF!,#REF!,#REF!,#REF!,#REF!,#REF!</definedName>
    <definedName name="ISO">#REF!</definedName>
    <definedName name="iss">#REF!</definedName>
    <definedName name="ISSTDCurrentAdj">#REF!,#REF!,#REF!,#REF!,#REF!,#REF!</definedName>
    <definedName name="ISSTDDescrip">#REF!,#REF!,#REF!,#REF!,#REF!,#REF!,#REF!,#REF!,#REF!</definedName>
    <definedName name="ISSTDProtect">#REF!,#REF!,#REF!,#REF!,#REF!,#REF!,#REF!,#REF!,#REF!,#REF!,#REF!,#REF!,#REF!,#REF!,#REF!,#REF!,#REF!,#REF!,#REF!,#REF!,#REF!,#REF!,#REF!,#REF!,#REF!,#REF!,#REF!,#REF!,#REF!</definedName>
    <definedName name="Items">#REF!</definedName>
    <definedName name="J">#REF!</definedName>
    <definedName name="Jan">#REF!</definedName>
    <definedName name="jc">#REF!</definedName>
    <definedName name="JD">#REF!</definedName>
    <definedName name="jhgjhsd">#REF!</definedName>
    <definedName name="ji">#REF!</definedName>
    <definedName name="JJJ">#REF!</definedName>
    <definedName name="jjjj">#REF!</definedName>
    <definedName name="jjvs">#REF!</definedName>
    <definedName name="JKJ">#REF!</definedName>
    <definedName name="jmhjm">#REF!</definedName>
    <definedName name="JOC">#REF!</definedName>
    <definedName name="JOCE">#REF!</definedName>
    <definedName name="jr">#REF!</definedName>
    <definedName name="jt">#REF!</definedName>
    <definedName name="jtl">#REF!</definedName>
    <definedName name="ju">#REF!</definedName>
    <definedName name="jui">#REF!</definedName>
    <definedName name="Jul">#REF!</definedName>
    <definedName name="Jun">#REF!</definedName>
    <definedName name="june">#REF!</definedName>
    <definedName name="junr">#REF!</definedName>
    <definedName name="jvs">#REF!</definedName>
    <definedName name="jw">#REF!</definedName>
    <definedName name="k">#REF!</definedName>
    <definedName name="KD">#REF!</definedName>
    <definedName name="keyerracc">#REF!</definedName>
    <definedName name="KJ">#REF!</definedName>
    <definedName name="KK">#REF!</definedName>
    <definedName name="KKK">#REF!</definedName>
    <definedName name="KKM">#REF!</definedName>
    <definedName name="KM">#REF!</definedName>
    <definedName name="KMJ">#REF!</definedName>
    <definedName name="KMM">#REF!</definedName>
    <definedName name="knit">#REF!</definedName>
    <definedName name="Knitting">#REF!</definedName>
    <definedName name="kuk">#REF!</definedName>
    <definedName name="LAB">#REF!</definedName>
    <definedName name="lan">#REF!</definedName>
    <definedName name="Last_Row">IF(Values_Entered,Header_Row+Number_of_Payments,Header_Row)</definedName>
    <definedName name="lb">#REF!</definedName>
    <definedName name="LIST">#REF!</definedName>
    <definedName name="ll">#REF!</definedName>
    <definedName name="lloyacc">#REF!</definedName>
    <definedName name="Loan_Amount">#REF!</definedName>
    <definedName name="Loan_Months">#REF!</definedName>
    <definedName name="Loan_Start">#REF!</definedName>
    <definedName name="Loan_Years">#REF!</definedName>
    <definedName name="loc">#REF!</definedName>
    <definedName name="LocalCurr">#REF!</definedName>
    <definedName name="LOCRTNPROV">#REF!</definedName>
    <definedName name="LOCSTKPROV">#REF!</definedName>
    <definedName name="lotcprov">#REF!</definedName>
    <definedName name="lotprov">#REF!</definedName>
    <definedName name="luc">#REF!</definedName>
    <definedName name="LWSALES">#REF!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acro1">#N/A</definedName>
    <definedName name="MALI">#N/A</definedName>
    <definedName name="MALI1">#N/A</definedName>
    <definedName name="MALI2">#N/A</definedName>
    <definedName name="Mar">#REF!</definedName>
    <definedName name="marc">#REF!</definedName>
    <definedName name="MARGINPLAN">#REF!</definedName>
    <definedName name="MARGINPROJ">#REF!</definedName>
    <definedName name="Mast">#REF!</definedName>
    <definedName name="May">#REF!</definedName>
    <definedName name="mc">#REF!</definedName>
    <definedName name="mcac">#REF!</definedName>
    <definedName name="mdownacc">#REF!</definedName>
    <definedName name="MK">#REF!</definedName>
    <definedName name="MKM">#REF!</definedName>
    <definedName name="Mkt_Vouch">#REF!,#REF!</definedName>
    <definedName name="mm">#N/A</definedName>
    <definedName name="mmm">#REF!</definedName>
    <definedName name="mnth">#REF!</definedName>
    <definedName name="Month">#REF!</definedName>
    <definedName name="Moratorium_Period">#REF!</definedName>
    <definedName name="mot">#REF!</definedName>
    <definedName name="mti">#REF!</definedName>
    <definedName name="mtil">#REF!</definedName>
    <definedName name="mtio">#REF!</definedName>
    <definedName name="mv">#REF!</definedName>
    <definedName name="mvsc">#REF!</definedName>
    <definedName name="mvsk">#REF!</definedName>
    <definedName name="Name">#REF!</definedName>
    <definedName name="NESNACC">#REF!</definedName>
    <definedName name="new">#REF!</definedName>
    <definedName name="nilacc">#REF!</definedName>
    <definedName name="niltrnacc">#REF!</definedName>
    <definedName name="nn">#REF!</definedName>
    <definedName name="NOTE1">#REF!</definedName>
    <definedName name="NOTE2">#REF!</definedName>
    <definedName name="Nov">#REF!</definedName>
    <definedName name="Number_of_Payments">MATCH(0.01,End_Bal,-1)+1</definedName>
    <definedName name="o">#REF!</definedName>
    <definedName name="Oct">#REF!</definedName>
    <definedName name="oj">#REF!</definedName>
    <definedName name="OO">#REF!</definedName>
    <definedName name="op">#REF!</definedName>
    <definedName name="Order">#REF!</definedName>
    <definedName name="OS">#REF!</definedName>
    <definedName name="OSR">#REF!</definedName>
    <definedName name="ot">#REF!</definedName>
    <definedName name="oth">#REF!</definedName>
    <definedName name="other">#REF!</definedName>
    <definedName name="ots">#REF!</definedName>
    <definedName name="ott">#REF!</definedName>
    <definedName name="p">#REF!</definedName>
    <definedName name="P3_">#N/A</definedName>
    <definedName name="pay">#REF!</definedName>
    <definedName name="Pay_Num">#REF!</definedName>
    <definedName name="Payment_Date">DATE(YEAR(Loan_Start),MONTH(Loan_Start)+Payment_Number,DAY(Loan_Start))</definedName>
    <definedName name="per">#REF!</definedName>
    <definedName name="PER3DUTY">#REF!</definedName>
    <definedName name="Period">#REF!</definedName>
    <definedName name="PERNO">#REF!</definedName>
    <definedName name="persona">#REF!</definedName>
    <definedName name="PERSONAL">#REF!</definedName>
    <definedName name="PHASE">#N/A</definedName>
    <definedName name="plmthinr">#REF!</definedName>
    <definedName name="PLTH">#REF!</definedName>
    <definedName name="pmth">#REF!</definedName>
    <definedName name="PNMoveSeason">#REF!,#REF!,#REF!,#REF!,#REF!,#REF!,#REF!,#REF!,#REF!,#REF!,#REF!,#REF!,#REF!,#REF!,#REF!</definedName>
    <definedName name="poinvacc">#REF!</definedName>
    <definedName name="POSTPONED_TO_DEC">#REF!</definedName>
    <definedName name="pr">#REF!</definedName>
    <definedName name="PRDump">#REF!</definedName>
    <definedName name="price2">#REF!</definedName>
    <definedName name="Princ">#REF!</definedName>
    <definedName name="_xlnm.Print_Area">#REF!</definedName>
    <definedName name="Print_Area_MI">#REF!</definedName>
    <definedName name="Print_Area_Reset">OFFSET(Full_Print,0,0,Last_Row)</definedName>
    <definedName name="PRINTLOC">#N/A</definedName>
    <definedName name="Processing">#REF!</definedName>
    <definedName name="ProjCurrProtect">#REF!,#REF!,#REF!,#REF!,#REF!,#REF!,#REF!,#REF!,#REF!,#REF!,#REF!,#REF!,#REF!,#REF!,#REF!</definedName>
    <definedName name="PROMO">#N/A</definedName>
    <definedName name="pvs">#REF!</definedName>
    <definedName name="q">#REF!</definedName>
    <definedName name="qq">#N/A</definedName>
    <definedName name="qqqqqq">#REF!</definedName>
    <definedName name="Qty">#REF!</definedName>
    <definedName name="Query1">#REF!</definedName>
    <definedName name="qwe">#REF!</definedName>
    <definedName name="randi">#REF!</definedName>
    <definedName name="RATE">#REF!</definedName>
    <definedName name="RawAgencyPrice">#REF!</definedName>
    <definedName name="RBData">#REF!</definedName>
    <definedName name="re">#REF!</definedName>
    <definedName name="RECCANACC">#REF!</definedName>
    <definedName name="recdec">#REF!</definedName>
    <definedName name="RECE">#REF!</definedName>
    <definedName name="RECEXACC">#REF!</definedName>
    <definedName name="RECINACC">#REF!</definedName>
    <definedName name="Report">#REF!</definedName>
    <definedName name="Reselects">#REF!</definedName>
    <definedName name="returnprov">#REF!</definedName>
    <definedName name="returns_prov">#REF!</definedName>
    <definedName name="REVACC">#REF!</definedName>
    <definedName name="ReviewDates">OFFSET(#REF!,1,0,COUNT(SumMonth),1)</definedName>
    <definedName name="REVPER">#REF!</definedName>
    <definedName name="rj">#REF!</definedName>
    <definedName name="RMCOptions">"*110000000000000"</definedName>
    <definedName name="s">#REF!</definedName>
    <definedName name="S99BOYS">#REF!</definedName>
    <definedName name="SALESPLAN">#REF!</definedName>
    <definedName name="salesvar">#REF!,#REF!,#REF!,#REF!,#REF!,#REF!,#REF!,#REF!,#REF!</definedName>
    <definedName name="SAUD">#REF!</definedName>
    <definedName name="Sched_Pay">#REF!</definedName>
    <definedName name="Scheduled_Extra_Payments">#REF!</definedName>
    <definedName name="Scheduled_Monthly_Payment">#REF!</definedName>
    <definedName name="sd">#REF!</definedName>
    <definedName name="SDATE">#REF!</definedName>
    <definedName name="SDF">#REF!</definedName>
    <definedName name="sdfd">#REF!</definedName>
    <definedName name="Season">#REF!</definedName>
    <definedName name="sec">#REF!</definedName>
    <definedName name="Sep">#REF!</definedName>
    <definedName name="sepi">#REF!</definedName>
    <definedName name="sepr">#REF!</definedName>
    <definedName name="sepsep">#REF!</definedName>
    <definedName name="SERIAL">#REF!</definedName>
    <definedName name="shi">#REF!</definedName>
    <definedName name="SITE">#REF!</definedName>
    <definedName name="SIZE">#REF!</definedName>
    <definedName name="SLOT">#REF!</definedName>
    <definedName name="SLPP_E_TOTAL">SUM(#REF!)</definedName>
    <definedName name="Specification">#REF!</definedName>
    <definedName name="ss">#REF!</definedName>
    <definedName name="ssa">#REF!</definedName>
    <definedName name="sss">#REF!</definedName>
    <definedName name="StatementRange">OFFSET(#REF!,1,0,3000,12)</definedName>
    <definedName name="StateMonth">OFFSET(#REF!,1,0,3000,1)</definedName>
    <definedName name="StatsProtectDn">#REF!,#REF!,#REF!,#REF!,#REF!,#REF!,#REF!,#REF!,#REF!,#REF!,#REF!,#REF!,#REF!,#REF!,#REF!,#REF!,#REF!,#REF!,#REF!,#REF!,#REF!</definedName>
    <definedName name="StatsProtectUp">#REF!,#REF!,#REF!,#REF!,#REF!,#REF!,#REF!,#REF!,#REF!,#REF!,#REF!,#REF!,#REF!,#REF!,#REF!,#REF!,#REF!,#REF!,#REF!,#REF!,#REF!</definedName>
    <definedName name="stkl01">#REF!</definedName>
    <definedName name="STOCK">#REF!</definedName>
    <definedName name="Stocks_Written_Off">#REF!</definedName>
    <definedName name="STORE">#REF!</definedName>
    <definedName name="STORE3">#N/A</definedName>
    <definedName name="STOREMISC">#REF!,#REF!,#REF!,#REF!,#REF!,#REF!</definedName>
    <definedName name="storerates">#REF!,#REF!</definedName>
    <definedName name="storerent">#REF!,#REF!,#REF!</definedName>
    <definedName name="style">#REF!</definedName>
    <definedName name="Style_Number">#REF!</definedName>
    <definedName name="summary">#REF!</definedName>
    <definedName name="SumMonth">OFFSET(#REF!,1,0,400,1)</definedName>
    <definedName name="t">#N/A</definedName>
    <definedName name="ta">#REF!</definedName>
    <definedName name="Table1">#REF!</definedName>
    <definedName name="tatata">#REF!</definedName>
    <definedName name="tele">#REF!</definedName>
    <definedName name="TEST">#REF!</definedName>
    <definedName name="Test_II">#REF!</definedName>
    <definedName name="th">#REF!</definedName>
    <definedName name="ti">#REF!</definedName>
    <definedName name="tij">#REF!</definedName>
    <definedName name="TIL">#REF!</definedName>
    <definedName name="tilc">#REF!</definedName>
    <definedName name="tilj">#REF!</definedName>
    <definedName name="tilr">#REF!</definedName>
    <definedName name="tio">#REF!</definedName>
    <definedName name="Total_Pay">#REF!</definedName>
    <definedName name="Total_Payment">Scheduled_Payment+Extra_Payment</definedName>
    <definedName name="TOTAL_SALES">#REF!+#REF!+#REF!</definedName>
    <definedName name="total_slobs">#REF!+#REF!+#REF!+#REF!+#REF!+#REF!+#REF!+#REF!+#REF!+#REF!+#REF!+#REF!+#REF!+#REF!</definedName>
    <definedName name="tra">#REF!</definedName>
    <definedName name="Transactions">OFFSET(#REF!,1,0,TrnRange,2)</definedName>
    <definedName name="TransAmount">OFFSET(#REF!,1,0,COUNT(StateMonth),1)</definedName>
    <definedName name="TransCode">OFFSET(#REF!,1,0,COUNT(StateMonth),1)</definedName>
    <definedName name="TransDate">OFFSET(#REF!,1,0,COUNT(StateMonth),1)</definedName>
    <definedName name="TransInt">OFFSET(#REF!,1,0,COUNT(StateMonth),1)</definedName>
    <definedName name="TransMonth">OFFSET(#REF!,1,0,COUNT(StateMonth),1)</definedName>
    <definedName name="TrnCode">OFFSET(#REF!,1,0,TrnRange,1)</definedName>
    <definedName name="TrnDesc">OFFSET(#REF!,1,0,TrnRange,1)</definedName>
    <definedName name="TrnRange">COUNT(#REF!)</definedName>
    <definedName name="ts">#REF!</definedName>
    <definedName name="tt">#REF!</definedName>
    <definedName name="TTT">#REF!</definedName>
    <definedName name="tttt">#REF!</definedName>
    <definedName name="U">#REF!</definedName>
    <definedName name="UAE">#REF!</definedName>
    <definedName name="UNIT">#REF!</definedName>
    <definedName name="UNITS.categories">#REF!</definedName>
    <definedName name="unnjnu">#N/A</definedName>
    <definedName name="UNT">#REF!</definedName>
    <definedName name="upu">#N/A</definedName>
    <definedName name="USA">#REF!</definedName>
    <definedName name="usdcum">#REF!</definedName>
    <definedName name="usdcumnoa">#REF!</definedName>
    <definedName name="uu">#N/A</definedName>
    <definedName name="Values_Entered">IF(Loan_Amount*Interest_Rate*Loan_Years*Loan_Start&gt;0,1,0)</definedName>
    <definedName name="VARIANCE">#REF!-#REF!</definedName>
    <definedName name="vcc">#REF!</definedName>
    <definedName name="vcl">#REF!</definedName>
    <definedName name="Version">#REF!</definedName>
    <definedName name="vs">#REF!</definedName>
    <definedName name="vsa">#REF!</definedName>
    <definedName name="vsc">#REF!</definedName>
    <definedName name="vsj">#REF!</definedName>
    <definedName name="vss">#REF!</definedName>
    <definedName name="vv">#REF!</definedName>
    <definedName name="vvv">#REF!</definedName>
    <definedName name="w">#REF!</definedName>
    <definedName name="wdd\">#N/A</definedName>
    <definedName name="we">#REF!</definedName>
    <definedName name="Weight_Loss">#REF!</definedName>
    <definedName name="Whwork">#REF!,#REF!</definedName>
    <definedName name="WIP">#REF!</definedName>
    <definedName name="Working_Actual">#REF!</definedName>
    <definedName name="Working_Budget">#REF!</definedName>
    <definedName name="Working_Last_Year">#REF!</definedName>
    <definedName name="workings">#REF!</definedName>
    <definedName name="ww">#REF!</definedName>
    <definedName name="wwjre">#REF!</definedName>
    <definedName name="www">#REF!</definedName>
    <definedName name="wwww">#REF!</definedName>
    <definedName name="x">#REF!</definedName>
    <definedName name="xx">#REF!</definedName>
    <definedName name="xxx">#REF!</definedName>
    <definedName name="xxxx">#REF!</definedName>
    <definedName name="xyz">#N/A</definedName>
    <definedName name="Y">#REF!</definedName>
    <definedName name="Yarn">#REF!</definedName>
    <definedName name="YYYY">#REF!</definedName>
    <definedName name="zz">#REF!</definedName>
    <definedName name="zzz">#REF!</definedName>
    <definedName name="\P" localSheetId="0">#REF!</definedName>
    <definedName name="__ACC0320" localSheetId="0">#REF!</definedName>
    <definedName name="__AGE2" localSheetId="0">#REF!</definedName>
    <definedName name="__BAL0320" localSheetId="0">#REF!</definedName>
    <definedName name="__BAL0344" localSheetId="0">#REF!</definedName>
    <definedName name="__BAL0348" localSheetId="0">#REF!</definedName>
    <definedName name="__BAL0360" localSheetId="0">#REF!</definedName>
    <definedName name="__BAL0361" localSheetId="0">#REF!</definedName>
    <definedName name="__BAL0367" localSheetId="0">#REF!</definedName>
    <definedName name="__BAL0370" localSheetId="0">#REF!</definedName>
    <definedName name="__BAL0375" localSheetId="0">#REF!</definedName>
    <definedName name="__BAL0384" localSheetId="0">#REF!</definedName>
    <definedName name="__BAL0385" localSheetId="0">#REF!</definedName>
    <definedName name="__BAL0386" localSheetId="0">#REF!</definedName>
    <definedName name="__BAL0387" localSheetId="0">#REF!</definedName>
    <definedName name="__BAL0388" localSheetId="0">#REF!</definedName>
    <definedName name="__BAL0395" localSheetId="0">#REF!</definedName>
    <definedName name="__bal0397" localSheetId="0">#REF!</definedName>
    <definedName name="__BAL0399" localSheetId="0">#REF!</definedName>
    <definedName name="__BAL0400" localSheetId="0">#REF!</definedName>
    <definedName name="__BAL0810" localSheetId="0">#REF!</definedName>
    <definedName name="__BAL0811" localSheetId="0">#REF!</definedName>
    <definedName name="__BAL0815" localSheetId="0">#REF!</definedName>
    <definedName name="__BAL6791" localSheetId="0">#REF!</definedName>
    <definedName name="__BLA0811" localSheetId="0">#REF!</definedName>
    <definedName name="__ita01" localSheetId="0">#REF!</definedName>
    <definedName name="__lb01" localSheetId="0">#REF!</definedName>
    <definedName name="__PHS1" localSheetId="0">#REF!</definedName>
    <definedName name="__til01" localSheetId="0">#REF!</definedName>
    <definedName name="__uk01" localSheetId="0">#REF!</definedName>
    <definedName name="__vsc01" localSheetId="0">#REF!</definedName>
    <definedName name="__vss01" localSheetId="0">#REF!</definedName>
    <definedName name="_ACC0320" localSheetId="0">#REF!</definedName>
    <definedName name="_AGE2" localSheetId="0">#REF!</definedName>
    <definedName name="_BAL0320" localSheetId="0">#REF!</definedName>
    <definedName name="_BAL0344" localSheetId="0">#REF!</definedName>
    <definedName name="_BAL0348" localSheetId="0">#REF!</definedName>
    <definedName name="_BAL0360" localSheetId="0">#REF!</definedName>
    <definedName name="_BAL0361" localSheetId="0">#REF!</definedName>
    <definedName name="_BAL0367" localSheetId="0">#REF!</definedName>
    <definedName name="_BAL0370" localSheetId="0">#REF!</definedName>
    <definedName name="_BAL0375" localSheetId="0">#REF!</definedName>
    <definedName name="_BAL0384" localSheetId="0">#REF!</definedName>
    <definedName name="_BAL0385" localSheetId="0">#REF!</definedName>
    <definedName name="_BAL0386" localSheetId="0">#REF!</definedName>
    <definedName name="_BAL0387" localSheetId="0">#REF!</definedName>
    <definedName name="_BAL0388" localSheetId="0">#REF!</definedName>
    <definedName name="_BAL0395" localSheetId="0">#REF!</definedName>
    <definedName name="_bal0397" localSheetId="0">#REF!</definedName>
    <definedName name="_BAL0399" localSheetId="0">#REF!</definedName>
    <definedName name="_BAL0400" localSheetId="0">#REF!</definedName>
    <definedName name="_BAL0810" localSheetId="0">#REF!</definedName>
    <definedName name="_BAL0811" localSheetId="0">#REF!</definedName>
    <definedName name="_BAL0815" localSheetId="0">#REF!</definedName>
    <definedName name="_BAL6791" localSheetId="0">#REF!</definedName>
    <definedName name="_BLA0811" localSheetId="0">#REF!</definedName>
    <definedName name="_Fill" localSheetId="0" hidden="1">#REF!</definedName>
    <definedName name="_ita01" localSheetId="0">#REF!</definedName>
    <definedName name="_Key1" localSheetId="0" hidden="1">#REF!</definedName>
    <definedName name="_Key2" localSheetId="0" hidden="1">#REF!</definedName>
    <definedName name="_lb01" localSheetId="0">#REF!</definedName>
    <definedName name="_PHS1" localSheetId="0">#REF!</definedName>
    <definedName name="_til01" localSheetId="0">#REF!</definedName>
    <definedName name="_uk01" localSheetId="0">#REF!</definedName>
    <definedName name="_vsc01" localSheetId="0">#REF!</definedName>
    <definedName name="_vss01" localSheetId="0">#REF!</definedName>
    <definedName name="AAA" localSheetId="0">#REF!</definedName>
    <definedName name="ab" localSheetId="0">#REF!</definedName>
    <definedName name="abc" localSheetId="0">#REF!</definedName>
    <definedName name="abxy" localSheetId="0">#REF!</definedName>
    <definedName name="Acc_List_II" localSheetId="0">#REF!</definedName>
    <definedName name="agdump" localSheetId="0">#REF!</definedName>
    <definedName name="AGE" localSheetId="0">#REF!</definedName>
    <definedName name="agedump" localSheetId="0">#REF!</definedName>
    <definedName name="agencydump" localSheetId="0">#REF!</definedName>
    <definedName name="AGENCYLY" localSheetId="0">#REF!</definedName>
    <definedName name="AGENCYPLAN" localSheetId="0">#REF!</definedName>
    <definedName name="AI" localSheetId="0">#REF!</definedName>
    <definedName name="APROV" localSheetId="0">#REF!</definedName>
    <definedName name="arr" localSheetId="0">#REF!</definedName>
    <definedName name="as" localSheetId="0">#REF!</definedName>
    <definedName name="att" localSheetId="0">#REF!</definedName>
    <definedName name="AWCONTS" localSheetId="0">#REF!</definedName>
    <definedName name="Baha" localSheetId="0">#REF!</definedName>
    <definedName name="BAL03955555" localSheetId="0">#REF!</definedName>
    <definedName name="Balance_Sheet" localSheetId="0">#REF!</definedName>
    <definedName name="bang" localSheetId="0">#REF!</definedName>
    <definedName name="bb" localSheetId="0">#REF!</definedName>
    <definedName name="bbb" localSheetId="0">#REF!</definedName>
    <definedName name="BCNXT152153" localSheetId="0">#REF!</definedName>
    <definedName name="BCNXT155156" localSheetId="0">#REF!</definedName>
    <definedName name="bgn" localSheetId="0">#REF!</definedName>
    <definedName name="Bleaching" localSheetId="0">#REF!</definedName>
    <definedName name="BPROV" localSheetId="0">#REF!</definedName>
    <definedName name="Brand" localSheetId="0">#REF!</definedName>
    <definedName name="bscum" localSheetId="0">#REF!</definedName>
    <definedName name="bsinr" localSheetId="0">#REF!</definedName>
    <definedName name="bsusd" localSheetId="0">#REF!</definedName>
    <definedName name="BudgetSeason" localSheetId="0">#REF!</definedName>
    <definedName name="budmain" localSheetId="0">#REF!</definedName>
    <definedName name="BUDSALES" localSheetId="0">#REF!</definedName>
    <definedName name="buyothacc" localSheetId="0">#REF!</definedName>
    <definedName name="C_" localSheetId="0">#REF!</definedName>
    <definedName name="cac" localSheetId="0">#REF!</definedName>
    <definedName name="CalcAgencyPrice" localSheetId="0">#REF!</definedName>
    <definedName name="CAN" localSheetId="0">#REF!</definedName>
    <definedName name="cash" localSheetId="0">#REF!</definedName>
    <definedName name="Cashflow" localSheetId="0">#REF!</definedName>
    <definedName name="catacc" localSheetId="0">#REF!</definedName>
    <definedName name="cha" localSheetId="0">#REF!</definedName>
    <definedName name="cj" localSheetId="0">#REF!</definedName>
    <definedName name="CNKH131" localSheetId="0">#REF!</definedName>
    <definedName name="CNKH331" localSheetId="0">#REF!</definedName>
    <definedName name="cofother" localSheetId="0">#REF!,#REF!,#REF!,#REF!,#REF!,#REF!,#REF!,#REF!</definedName>
    <definedName name="Commission" localSheetId="0">#REF!</definedName>
    <definedName name="CommPrint" localSheetId="0">#REF!</definedName>
    <definedName name="cor" localSheetId="0">#REF!</definedName>
    <definedName name="_xlnm.Criteria" localSheetId="0">#REF!</definedName>
    <definedName name="CUM" localSheetId="0">#REF!</definedName>
    <definedName name="CUMTI" localSheetId="0">#REF!</definedName>
    <definedName name="Cutting_Allowance" localSheetId="0">#REF!</definedName>
    <definedName name="d" localSheetId="0">#REF!</definedName>
    <definedName name="DaRWk1" localSheetId="0">#REF!</definedName>
    <definedName name="DaRWk10" localSheetId="0">#REF!</definedName>
    <definedName name="DaRWk11" localSheetId="0">#REF!</definedName>
    <definedName name="DaRWk12" localSheetId="0">#REF!</definedName>
    <definedName name="DaRWk2" localSheetId="0">#REF!</definedName>
    <definedName name="DaRWk3" localSheetId="0">#REF!</definedName>
    <definedName name="DaRWk4" localSheetId="0">#REF!</definedName>
    <definedName name="DaRWk5" localSheetId="0">#REF!</definedName>
    <definedName name="DaRWk6" localSheetId="0">#REF!</definedName>
    <definedName name="DaRWk8" localSheetId="0">#REF!</definedName>
    <definedName name="DaRwk9" localSheetId="0">#REF!</definedName>
    <definedName name="Database" localSheetId="0">#REF!</definedName>
    <definedName name="DATE" localSheetId="0">#REF!</definedName>
    <definedName name="DaWk7" localSheetId="0">#REF!</definedName>
    <definedName name="dbrwk1" localSheetId="0">#REF!</definedName>
    <definedName name="dbrwk10" localSheetId="0">#REF!</definedName>
    <definedName name="dbrwk11" localSheetId="0">#REF!</definedName>
    <definedName name="dbrwk12" localSheetId="0">#REF!</definedName>
    <definedName name="dbrwk2" localSheetId="0">#REF!</definedName>
    <definedName name="dbrwk3" localSheetId="0">#REF!</definedName>
    <definedName name="dbrwk4" localSheetId="0">#REF!</definedName>
    <definedName name="dbrwk5" localSheetId="0">#REF!</definedName>
    <definedName name="dbrwk6" localSheetId="0">#REF!</definedName>
    <definedName name="dbrwk7" localSheetId="0">#REF!</definedName>
    <definedName name="dbrwk8" localSheetId="0">#REF!</definedName>
    <definedName name="dbrwk9" localSheetId="0">#REF!</definedName>
    <definedName name="dcrwk1" localSheetId="0">#REF!</definedName>
    <definedName name="dcrwk10" localSheetId="0">#REF!</definedName>
    <definedName name="dcrwk11" localSheetId="0">#REF!</definedName>
    <definedName name="dcrwk12" localSheetId="0">#REF!</definedName>
    <definedName name="dcrwk2" localSheetId="0">#REF!</definedName>
    <definedName name="dcrwk3" localSheetId="0">#REF!</definedName>
    <definedName name="dcrwk4" localSheetId="0">#REF!</definedName>
    <definedName name="dcrwk5" localSheetId="0">#REF!</definedName>
    <definedName name="dcrwk6" localSheetId="0">#REF!</definedName>
    <definedName name="dcrwk7" localSheetId="0">#REF!</definedName>
    <definedName name="dcrwk8" localSheetId="0">#REF!</definedName>
    <definedName name="dcrwk9" localSheetId="0">#REF!</definedName>
    <definedName name="ddd" localSheetId="0">#REF!</definedName>
    <definedName name="DelDC" localSheetId="0">#REF!</definedName>
    <definedName name="DelDm" localSheetId="0">#REF!</definedName>
    <definedName name="Delivery" localSheetId="0">#REF!</definedName>
    <definedName name="DelType" localSheetId="0">#REF!</definedName>
    <definedName name="deptLookup" localSheetId="0">#REF!</definedName>
    <definedName name="Description" localSheetId="0">#REF!</definedName>
    <definedName name="ditinvacc" localSheetId="0">#REF!</definedName>
    <definedName name="DJKSJAKDFD" localSheetId="0">#REF!</definedName>
    <definedName name="DOVEACC" localSheetId="0">#REF!</definedName>
    <definedName name="DU" localSheetId="0">#REF!</definedName>
    <definedName name="DUB" localSheetId="0">#REF!</definedName>
    <definedName name="dumppr" localSheetId="0">#REF!</definedName>
    <definedName name="dutyacc" localSheetId="0">#REF!</definedName>
    <definedName name="DUTYACCCALC" localSheetId="0">#REF!</definedName>
    <definedName name="ee" localSheetId="0">#REF!</definedName>
    <definedName name="Excel_BuiltIn__FilterDatabase_1_1_1" localSheetId="0">#REF!</definedName>
    <definedName name="Excel_BuiltIn__FilterDatabase_4_1" localSheetId="0">#REF!</definedName>
    <definedName name="Exchange_Loss" localSheetId="0">#REF!</definedName>
    <definedName name="Exports" localSheetId="0">#REF!</definedName>
    <definedName name="F" localSheetId="0">#REF!</definedName>
    <definedName name="FACE" localSheetId="0">#REF!</definedName>
    <definedName name="fg" localSheetId="0">#REF!</definedName>
    <definedName name="fin" localSheetId="0">#REF!</definedName>
    <definedName name="Finance" localSheetId="0">#REF!</definedName>
    <definedName name="fsdf" localSheetId="0">#REF!</definedName>
    <definedName name="g" localSheetId="0">#REF!</definedName>
    <definedName name="GA" localSheetId="0">#REF!</definedName>
    <definedName name="gac" localSheetId="0">#REF!</definedName>
    <definedName name="Gan" localSheetId="0">#REF!</definedName>
    <definedName name="GF" localSheetId="0">#REF!</definedName>
    <definedName name="GIRLS" localSheetId="0">#REF!</definedName>
    <definedName name="GrphActSales" localSheetId="0">#REF!</definedName>
    <definedName name="GrphActStk" localSheetId="0">#REF!</definedName>
    <definedName name="GrphPlanSales" localSheetId="0">#REF!</definedName>
    <definedName name="GrphTgtStk" localSheetId="0">#REF!</definedName>
    <definedName name="ia" localSheetId="0">#REF!</definedName>
    <definedName name="idcprov" localSheetId="0">#REF!</definedName>
    <definedName name="IELWSALES" localSheetId="0">#REF!</definedName>
    <definedName name="IELYSALES" localSheetId="0">#REF!</definedName>
    <definedName name="IEPLANSALES" localSheetId="0">#REF!</definedName>
    <definedName name="IESP" localSheetId="0">#REF!</definedName>
    <definedName name="in" localSheetId="0">#REF!</definedName>
    <definedName name="INDI" localSheetId="0">#REF!</definedName>
    <definedName name="IntFreeCred" localSheetId="0">#REF!</definedName>
    <definedName name="is" localSheetId="0">#REF!</definedName>
    <definedName name="isdec" localSheetId="0">#REF!</definedName>
    <definedName name="isj" localSheetId="0">#REF!</definedName>
    <definedName name="iss" localSheetId="0">#REF!</definedName>
    <definedName name="Items" localSheetId="0">#REF!</definedName>
    <definedName name="jc" localSheetId="0">#REF!</definedName>
    <definedName name="jhgjhsd" localSheetId="0">#REF!</definedName>
    <definedName name="ji" localSheetId="0">#REF!</definedName>
    <definedName name="jjjj" localSheetId="0">#REF!</definedName>
    <definedName name="jjvs" localSheetId="0">#REF!</definedName>
    <definedName name="JKJ" localSheetId="0">#REF!</definedName>
    <definedName name="JOC" localSheetId="0">#REF!</definedName>
    <definedName name="JOCE" localSheetId="0">#REF!</definedName>
    <definedName name="jr" localSheetId="0">#REF!</definedName>
    <definedName name="jtl" localSheetId="0">#REF!</definedName>
    <definedName name="ju" localSheetId="0">#REF!</definedName>
    <definedName name="jui" localSheetId="0">#REF!</definedName>
    <definedName name="june" localSheetId="0">#REF!</definedName>
    <definedName name="jw" localSheetId="0">#REF!</definedName>
    <definedName name="k" localSheetId="0">#REF!</definedName>
    <definedName name="KD" localSheetId="0">#REF!</definedName>
    <definedName name="keyerracc" localSheetId="0">#REF!</definedName>
    <definedName name="KJ" localSheetId="0">#REF!</definedName>
    <definedName name="KK" localSheetId="0">#REF!</definedName>
    <definedName name="KKK" localSheetId="0">#REF!</definedName>
    <definedName name="KM" localSheetId="0">#REF!</definedName>
    <definedName name="knit" localSheetId="0">#REF!</definedName>
    <definedName name="Knitting" localSheetId="0">#REF!</definedName>
    <definedName name="lan" localSheetId="0">#REF!</definedName>
    <definedName name="Last_Row" localSheetId="0">IF(Values_Entered,#REF!+Number_of_Payments,#REF!)</definedName>
    <definedName name="lb" localSheetId="0">#REF!</definedName>
    <definedName name="LIST" localSheetId="0">#REF!</definedName>
    <definedName name="ll" localSheetId="0">#REF!</definedName>
    <definedName name="lloyacc" localSheetId="0">#REF!</definedName>
    <definedName name="LOCRTNPROV" localSheetId="0">#REF!</definedName>
    <definedName name="LOCSTKPROV" localSheetId="0">#REF!</definedName>
    <definedName name="lotcprov" localSheetId="0">#REF!</definedName>
    <definedName name="lotprov" localSheetId="0">#REF!</definedName>
    <definedName name="luc" localSheetId="0">#REF!</definedName>
    <definedName name="LWSALES" localSheetId="0">#REF!</definedName>
    <definedName name="LYBin" localSheetId="0">#REF!</definedName>
    <definedName name="LYHolds" localSheetId="0">#REF!</definedName>
    <definedName name="LYNet" localSheetId="0">#REF!</definedName>
    <definedName name="LYoos" localSheetId="0">#REF!</definedName>
    <definedName name="LYReselects" localSheetId="0">#REF!</definedName>
    <definedName name="LYReturns" localSheetId="0">#REF!</definedName>
    <definedName name="LYSales" localSheetId="0">#REF!</definedName>
    <definedName name="LYTotal" localSheetId="0">#REF!</definedName>
    <definedName name="MARGINPLAN" localSheetId="0">#REF!</definedName>
    <definedName name="MARGINPROJ" localSheetId="0">#REF!</definedName>
    <definedName name="Mast" localSheetId="0">#REF!</definedName>
    <definedName name="mc" localSheetId="0">#REF!</definedName>
    <definedName name="mdownacc" localSheetId="0">#REF!</definedName>
    <definedName name="MK" localSheetId="0">#REF!</definedName>
    <definedName name="Mkt_Vouch" localSheetId="0">#REF!,#REF!</definedName>
    <definedName name="mmm" localSheetId="0">#REF!</definedName>
    <definedName name="mti" localSheetId="0">#REF!</definedName>
    <definedName name="mv" localSheetId="0">#REF!</definedName>
    <definedName name="NESNACC" localSheetId="0">#REF!</definedName>
    <definedName name="new" localSheetId="0">#REF!</definedName>
    <definedName name="nilacc" localSheetId="0">#REF!</definedName>
    <definedName name="niltrnacc" localSheetId="0">#REF!</definedName>
    <definedName name="nn" localSheetId="0">#REF!</definedName>
    <definedName name="NOTE1" localSheetId="0">#REF!</definedName>
    <definedName name="NOTE2" localSheetId="0">#REF!</definedName>
    <definedName name="Number_of_Payments" localSheetId="0">MATCH(0.01,#REF!,-1)+1</definedName>
    <definedName name="o" localSheetId="0">#REF!</definedName>
    <definedName name="oj" localSheetId="0">#REF!</definedName>
    <definedName name="op" localSheetId="0">#REF!</definedName>
    <definedName name="Order" localSheetId="0">#REF!</definedName>
    <definedName name="OS" localSheetId="0">#REF!</definedName>
    <definedName name="oth" localSheetId="0">#REF!</definedName>
    <definedName name="other" localSheetId="0">#REF!</definedName>
    <definedName name="ots" localSheetId="0">#REF!</definedName>
    <definedName name="ott" localSheetId="0">#REF!</definedName>
    <definedName name="p" localSheetId="0">#REF!</definedName>
    <definedName name="pay" localSheetId="0">#REF!</definedName>
    <definedName name="Payment_Date" localSheetId="0">DATE(YEAR(#REF!),MONTH(#REF!)+Payment_Number,DAY(#REF!))</definedName>
    <definedName name="per" localSheetId="0">#REF!</definedName>
    <definedName name="PER3DUTY" localSheetId="0">#REF!</definedName>
    <definedName name="Period" localSheetId="0">#REF!</definedName>
    <definedName name="PERNO" localSheetId="0">#REF!</definedName>
    <definedName name="persona" localSheetId="0">#REF!</definedName>
    <definedName name="PERSONAL" localSheetId="0">#REF!</definedName>
    <definedName name="plmthinr" localSheetId="0">#REF!</definedName>
    <definedName name="PLTH" localSheetId="0">#REF!</definedName>
    <definedName name="poinvacc" localSheetId="0">#REF!</definedName>
    <definedName name="POSTPONED_TO_DEC" localSheetId="0">#REF!</definedName>
    <definedName name="pr" localSheetId="0">#REF!</definedName>
    <definedName name="PRDump" localSheetId="0">#REF!</definedName>
    <definedName name="price2" localSheetId="0">#REF!</definedName>
    <definedName name="_xlnm.Print_Area" localSheetId="0">'Senior Finance Objective KPI(2)'!$A$1:$I$22</definedName>
    <definedName name="Print_Area_MI" localSheetId="0">#REF!</definedName>
    <definedName name="Print_Area_Reset" localSheetId="0">OFFSET(#REF!,0,0,'Senior Finance Objective KPI(2)'!Last_Row)</definedName>
    <definedName name="Processing" localSheetId="0">#REF!</definedName>
    <definedName name="pvs" localSheetId="0">#REF!</definedName>
    <definedName name="q" localSheetId="0">#REF!</definedName>
    <definedName name="qqqqqq" localSheetId="0">#REF!</definedName>
    <definedName name="Query1" localSheetId="0">#REF!</definedName>
    <definedName name="qwe" localSheetId="0">#REF!</definedName>
    <definedName name="randi" localSheetId="0">#REF!</definedName>
    <definedName name="RATE" localSheetId="0">#REF!</definedName>
    <definedName name="RawAgencyPrice" localSheetId="0">#REF!</definedName>
    <definedName name="RBData" localSheetId="0">#REF!</definedName>
    <definedName name="re" localSheetId="0">#REF!</definedName>
    <definedName name="RECCANACC" localSheetId="0">#REF!</definedName>
    <definedName name="recdec" localSheetId="0">#REF!</definedName>
    <definedName name="RECE" localSheetId="0">#REF!</definedName>
    <definedName name="RECEXACC" localSheetId="0">#REF!</definedName>
    <definedName name="RECINACC" localSheetId="0">#REF!</definedName>
    <definedName name="Report" localSheetId="0">#REF!</definedName>
    <definedName name="Reselects" localSheetId="0">#REF!</definedName>
    <definedName name="returnprov" localSheetId="0">#REF!</definedName>
    <definedName name="returns_prov" localSheetId="0">#REF!</definedName>
    <definedName name="REVACC" localSheetId="0">#REF!</definedName>
    <definedName name="ReviewDates" localSheetId="0">OFFSET(#REF!,1,0,COUNT(#REF!),1)</definedName>
    <definedName name="REVPER" localSheetId="0">#REF!</definedName>
    <definedName name="rj" localSheetId="0">#REF!</definedName>
    <definedName name="S99BOYS" localSheetId="0">#REF!</definedName>
    <definedName name="SALESPLAN" localSheetId="0">#REF!</definedName>
    <definedName name="salesvar" localSheetId="0">#REF!,#REF!,#REF!,#REF!,#REF!,#REF!,#REF!,#REF!,#REF!</definedName>
    <definedName name="sd" localSheetId="0">#REF!</definedName>
    <definedName name="SDATE" localSheetId="0">#REF!</definedName>
    <definedName name="SDF" localSheetId="0">#REF!</definedName>
    <definedName name="Season" localSheetId="0">#REF!</definedName>
    <definedName name="sec" localSheetId="0">#REF!</definedName>
    <definedName name="sepi" localSheetId="0">#REF!</definedName>
    <definedName name="sepr" localSheetId="0">#REF!</definedName>
    <definedName name="SERIAL" localSheetId="0">#REF!</definedName>
    <definedName name="shi" localSheetId="0">#REF!</definedName>
    <definedName name="SIZE" localSheetId="0">#REF!</definedName>
    <definedName name="ss" localSheetId="0">#REF!</definedName>
    <definedName name="ssa" localSheetId="0">#REF!</definedName>
    <definedName name="sss" localSheetId="0">#REF!</definedName>
    <definedName name="stkl01" localSheetId="0">#REF!</definedName>
    <definedName name="STOCK" localSheetId="0">#REF!</definedName>
    <definedName name="Stocks_Written_Off" localSheetId="0">#REF!</definedName>
    <definedName name="STORE" localSheetId="0">#REF!</definedName>
    <definedName name="STOREMISC" localSheetId="0">#REF!,#REF!,#REF!,#REF!,#REF!,#REF!</definedName>
    <definedName name="storerates" localSheetId="0">#REF!,#REF!</definedName>
    <definedName name="storerent" localSheetId="0">#REF!,#REF!,#REF!</definedName>
    <definedName name="style" localSheetId="0">#REF!</definedName>
    <definedName name="Style_Number" localSheetId="0">#REF!</definedName>
    <definedName name="summary" localSheetId="0">#REF!</definedName>
    <definedName name="ta" localSheetId="0">#REF!</definedName>
    <definedName name="Table1" localSheetId="0">#REF!</definedName>
    <definedName name="tatata" localSheetId="0">#REF!</definedName>
    <definedName name="tele" localSheetId="0">#REF!</definedName>
    <definedName name="TEST" localSheetId="0">#REF!</definedName>
    <definedName name="Test_II" localSheetId="0">#REF!</definedName>
    <definedName name="ti" localSheetId="0">#REF!</definedName>
    <definedName name="tij" localSheetId="0">#REF!</definedName>
    <definedName name="TIL" localSheetId="0">#REF!</definedName>
    <definedName name="tilc" localSheetId="0">#REF!</definedName>
    <definedName name="tilj" localSheetId="0">#REF!</definedName>
    <definedName name="tilr" localSheetId="0">#REF!</definedName>
    <definedName name="tio" localSheetId="0">#REF!</definedName>
    <definedName name="Total_Payment" localSheetId="0">Scheduled_Payment+Extra_Payment</definedName>
    <definedName name="tra" localSheetId="0">#REF!</definedName>
    <definedName name="Transactions" localSheetId="0">OFFSET(#REF!,1,0,#REF!,2)</definedName>
    <definedName name="TransAmount" localSheetId="0">OFFSET(#REF!,1,0,COUNT(#REF!),1)</definedName>
    <definedName name="TransCode" localSheetId="0">OFFSET(#REF!,1,0,COUNT(#REF!),1)</definedName>
    <definedName name="TransDate" localSheetId="0">OFFSET(#REF!,1,0,COUNT(#REF!),1)</definedName>
    <definedName name="TransInt" localSheetId="0">OFFSET(#REF!,1,0,COUNT(#REF!),1)</definedName>
    <definedName name="TransMonth" localSheetId="0">OFFSET(#REF!,1,0,COUNT(#REF!),1)</definedName>
    <definedName name="TrnCode" localSheetId="0">OFFSET(#REF!,1,0,#REF!,1)</definedName>
    <definedName name="TrnDesc" localSheetId="0">OFFSET(#REF!,1,0,#REF!,1)</definedName>
    <definedName name="ts" localSheetId="0">#REF!</definedName>
    <definedName name="tt" localSheetId="0">#REF!</definedName>
    <definedName name="TTT" localSheetId="0">#REF!</definedName>
    <definedName name="tttt" localSheetId="0">#REF!</definedName>
    <definedName name="UAE" localSheetId="0">#REF!</definedName>
    <definedName name="UNITS.categories" localSheetId="0">#REF!</definedName>
    <definedName name="UNT" localSheetId="0">#REF!</definedName>
    <definedName name="USA" localSheetId="0">#REF!</definedName>
    <definedName name="usdcum" localSheetId="0">#REF!</definedName>
    <definedName name="usdcumnoa" localSheetId="0">#REF!</definedName>
    <definedName name="Values_Entered" localSheetId="0">IF(#REF!*#REF!*#REF!*#REF!&gt;0,1,0)</definedName>
    <definedName name="vcl" localSheetId="0">#REF!</definedName>
    <definedName name="Version" localSheetId="0">#REF!</definedName>
    <definedName name="vs" localSheetId="0">#REF!</definedName>
    <definedName name="vsa" localSheetId="0">#REF!</definedName>
    <definedName name="vsc" localSheetId="0">#REF!</definedName>
    <definedName name="vsj" localSheetId="0">#REF!</definedName>
    <definedName name="vss" localSheetId="0">#REF!</definedName>
    <definedName name="vv" localSheetId="0">#REF!</definedName>
    <definedName name="vvv" localSheetId="0">#REF!</definedName>
    <definedName name="w" localSheetId="0">#REF!</definedName>
    <definedName name="Weight_Loss" localSheetId="0">#REF!</definedName>
    <definedName name="Whwork" localSheetId="0">#REF!,#REF!</definedName>
    <definedName name="Working_Actual" localSheetId="0">#REF!</definedName>
    <definedName name="Working_Budget" localSheetId="0">#REF!</definedName>
    <definedName name="Working_Last_Year" localSheetId="0">#REF!</definedName>
    <definedName name="workings" localSheetId="0">#REF!</definedName>
    <definedName name="ww" localSheetId="0">#REF!</definedName>
    <definedName name="wwjre" localSheetId="0">#REF!</definedName>
    <definedName name="www" localSheetId="0">#REF!</definedName>
    <definedName name="xx" localSheetId="0">#REF!</definedName>
    <definedName name="Y" localSheetId="0">#REF!</definedName>
    <definedName name="Yarn" localSheetId="0">#REF!</definedName>
    <definedName name="YYYY" localSheetId="0">#REF!</definedName>
    <definedName name="zzz" localSheetId="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<sst xmlns="http://schemas.openxmlformats.org/spreadsheetml/2006/main" count="588" uniqueCount="132">
  <si>
    <t>የስራ አፈፃፀም መለኪያ ቅፅ</t>
  </si>
  <si>
    <t>የሰራተኛው ስም</t>
  </si>
  <si>
    <t>አስያ ሰማን</t>
  </si>
  <si>
    <t>የስራ ድርሻ/ኃላፊነት</t>
  </si>
  <si>
    <t>ሲኒየር አካውንታንት</t>
  </si>
  <si>
    <t>መምሪያ/የስራ ክፍል</t>
  </si>
  <si>
    <t>ሒሳብ ክፍል</t>
  </si>
  <si>
    <t>የሚሰሩበት ቦታ</t>
  </si>
  <si>
    <t>ሀንሰን ንግድ እና ኢንዱስትሪ ኃላ/የተ/የግል ማህበር</t>
  </si>
  <si>
    <t>የሚመዘኑበት ዓመት</t>
  </si>
  <si>
    <t>1/1/2026 - 6/1/2026</t>
  </si>
  <si>
    <t>ቁልፍ የስራ ዝርዝር(KPIs)</t>
  </si>
  <si>
    <t>የስራው ትርጉም (Definition)</t>
  </si>
  <si>
    <t>የታቀደው
(Target )</t>
  </si>
  <si>
    <t>የተሰራው(Achievement)</t>
  </si>
  <si>
    <t>ለስራው የተሰጠው የክብደት መጠን(Weightages)</t>
  </si>
  <si>
    <t>Score against Achivement( ያገኙት ነጥብ ካስመዘገቡት ውጤት/ስኬት ጋር ሲነጻጸር)</t>
  </si>
  <si>
    <t>Total Score including Weightages(አጠቃላይ ውጤት ለስራው የሰጠነውን ክብደት ጨምሮ</t>
  </si>
  <si>
    <t>Rating(የደረጃ አሰጣጥ)</t>
  </si>
  <si>
    <t>Monthly  Reconcilation (Salse/z report ,Bank,Aaccount receivable and payable) ወራዊ ወጪ እና ገቢን ማስታረቅ</t>
  </si>
  <si>
    <t>የባንክ ማስታረቅ ወሩ በገባ በ 3 ቀን ውስጥ  ሁሌም ዜሮ መሆኑን ማረጋገጥ</t>
  </si>
  <si>
    <t>1.የወርሃዊ ሪካንስሌሽን ስራን በሚገባ አጠናቆ  100% ያስመዘገበ 5 ነጥብ ያገኛል                                                        2.የወርሃዊ ሪካንስሌሽን ስራን በሚገባ አጠናቆ  99% ያስመዘገበ 4 ነጥብ ያገኛል                                                           3,የወርሃዊ ሪካንስሌሽን ስራን በሚገባ አጠናቆ ክ94%-98% ያስመዘገበ 3 ነጥብ ያገኛል                                                          4, የወርሃዊ ሪካንስሌሽን ስራን በሚገባ አጠናቆ  89%-93% ያስመዘገበ 2 ነጥብ ያገኛል                                                             5,የወርሃዊ ሪካንስሌሽን ስራን በሚገባ አጠናቆ  84%-88% ያስመዘገበ 1 ነጥብ ያገኛል.</t>
  </si>
  <si>
    <t>Effective  Audit Cycle (ውጤታማ የሆነ  ኦዲት ማድረግ)</t>
  </si>
  <si>
    <t>በውጪ የሚሰሩ የኦዲት ስራዎች ውጤታማ እንዲሆኑ ከውስጥ ኦዲተር ጋር በመጣመር ጥራቱን የጠበቀ ሰነድ/ዶክመት ከማዘጋጀት ጀምሮ ኦዲቱ  ውጤታማ ሆኖ እስኪጠናቀቅ ድረስ ኃላፊነትን መወጣታ</t>
  </si>
  <si>
    <t>1.ውጤታማ የሆነ  ኦዲት አጠናቆ  100% ያስመዘገበ 5 ነጥብ ያገኛል                                                         2.ውጤታማ የሆነ  ኦዲት አጠናቆ  96%-99% ያስመዘገበ 4 ነጥብ ያገኛል                                                           3, ውጤታማ የሆነ  ኦዲት አጠናቆ 90%- 95% ያስመዘገበ 3 ነጥብ ያገኛል                                                             4, ውጤታማ የሆነ  ኦዲት አጠናቆ  85%-89% ያስመዘገበ 2ነጥብ ያገኛል                                                              5,ውጤታማ የሆነ  ኦዲት አጠናቆ  80%-84% ያስመዘገበ 1 ነጥብ ያገኛል</t>
  </si>
  <si>
    <t>On time payroll pereparation and payement (የደመወዝ ክፍያ ሰዓቱን ጠብቆ ማዘጋጀት እና መክፈል )</t>
  </si>
  <si>
    <t>ወርሃዊ ደሞዝ ያለምንም ስህተት እና ቅሬታ ወሩን ጠብቆ ለሰራተኛ መክፈል</t>
  </si>
  <si>
    <t>1.ወርሃዊ የደመወዝ ክፍያን ያለችግር አጠናቆ  100% ያስመዘገበ 5 ነጥብ ያገኛል                                                     2.ወርሃዊ የደመወዝ ክፍያን ያለችግር አጠናቆ  99% ያስመዘገበ 4 ነጥብ ያገኛል                                                                3, ወርሃዊ የደመወዝ ክፍያን ያለችግር አጠናቆ  95%_98% ያስመዘገበ 3ነጥብ ያገኛል                                                            4,  ወርሃዊ የደመወዝ ክፍያን ያለችግር አጠናቆ  90%_94% ያስመዘገበ 2ነጥብ ያገኛ                                                           5, ወርሃዊ የደመወዝ ክፍያን ያለችግር አጠናቆ  84%_89% ያስመዘገበ 1ነጥብ ያገኛ</t>
  </si>
  <si>
    <t>All taxes should pay to goverment Authority  Monthly  wise without any penality (ለመንግስት ባለስልጣን ቢሮ የሚከፈሉትን ሁሉም ግብሮች ወሩን ጠብቀው ያለ ቅጣት መከፈል ይኖርባቸዋል)</t>
  </si>
  <si>
    <t>ለመንግስት የሚከፈለውን ግብር ሰዓቱን  ጠብቆ  ያለምንም ቅጣት መከፈሉን ማረጋገጥ</t>
  </si>
  <si>
    <t>1,ወሩን ጠብቀው ያለምንም ቅጣት የታክስ ክፍያን 100% ያስመዘገበ 5 ነጥብ ያገኛል                                                         2,ወሩን ጠብቀው ያለምንም ቅጣት የታክስ ክፍያን 99% ያስመዘገበ 4ነጥብ ያገኛል                                                           3, ወሩን ጠብቀው ያለምንም ቅጣት የታክስ ክፍያን 94%-98% ያስመዘገበ 3 ነጥብ ያገኛል                                                             4,ወሩን ጠብቀው ያለምንም ቅጣት የታክስ ክፍያን 89% -93%ያስመዘገበ 2 ነጥብ ያገኛል                                                           5,ወሩን ጠብቀው ያለምንም ቅጣት የታክስ ክፍያን 84%-88% ያስመዘገበ 1 ነጥብ ያገኛል</t>
  </si>
  <si>
    <t>Knowledge Transfer (የእውቀት ሽግግር)</t>
  </si>
  <si>
    <t>የስራ ክፍሉን ግብ ለማሳካት ሰራተኞች እውቀታቸውን ለስራ ባልደረቦቻቸው በተለያየ ዘዴ ማስተላፍ ይኖርባቸዋል  ለምሳሌ የስራ ቦታ ላይ ስልጠና በመስጠት ወይም የክፍል ውስጥ ስልጠና ወይም ሌሎች የስልጠና ዘዴዎችን በመጠቀም  በወር ውስጥ አንድ(1) ሰራተኞችን ማብቃት አለባቸው</t>
  </si>
  <si>
    <t>1,የእውቀት ሽግግር ጋር ተያይዞ 100% ያስመዘገበ 5 ነጥብ ያገኛል                                                        የእውቀት ሽግግር ጋር ተያይዞ 99% ያስመዘገበ 4 ነጥብ ያገኛል                                                         3, የእውቀት ሽግግር ጋር ተያይዞ 94%-98% ያስመዘገበ 3 ነጥብ ያገኛል                                                             4,የእውቀት ሽግግር ጋር ተያይዞ 89%-93% ያስመዘገበ 2 ነጥብ ያገኛል                                                           5,የእውቀት ሽግግር ጋር ተያይዞ 84%-88% ያስመዘገበ 1 ነጥብ ያገኛል</t>
  </si>
  <si>
    <t>Accuracy of PV documents (የPV ሰነዶችን  ተራ ቁጥር ጠብቆ መስራት እና የእያንዳንዱን PV ወጪ ህጋዊ ዶክመንቶች መዘጋጀታቸውን እና መያያዛቸውን ማረጋገጥ )</t>
  </si>
  <si>
    <t>የPV ሰነዶችን  ተራ ቁጥር ጠብቆ መስራት እና የእያንዳንዱን PV ወጪ ህጋዊ ዶክመንቶች መዘጋጀታቸውን እና መያያዛቸውን ማረጋገጥ</t>
  </si>
  <si>
    <t>1,የገቢና ወጪ ምዝገባን በሚገባ አጠናቆ  100% ያስመዘገበ 5 ነጥብ ያገኛል                                                        2,የገቢና ወጪ ምዝገባን በሚገባ አጠናቆ  99% ያስመዘገበ 4 ነጥብ ያገኛል                                                           3,የገቢና ወጪ ምዝገባንበሚገባ አጠናቆ ክ94%-98% ያስመዘገበ 3 ነጥብ ያገኛል                                                          4, የገቢና ወጪ ምዝገባን በሚገባ አጠናቆ  89%-93% ያስመዘገበ 2 ነጥብ ያገኛል                                                             5,የገቢና ወጪ ምዝገባን በሚገባ አጠናቆ  84%-88% ያስመዘገበ 1 ነጥብ ያገኛል.</t>
  </si>
  <si>
    <t>Timely submission of reports/Assignments (ሪፖርቶችን
 / ስራዎችን በወቅቱ ማስረከብ)</t>
  </si>
  <si>
    <t>ማንኛውንም ከቅርብ አለቃ የሚታዘዙ ሪፖርቶች እና ስራዎች በተሰጠው የግዜ 
ገደብ ማድርስ እና ማስረከብ</t>
  </si>
  <si>
    <t>1,ሰአቱን የጠበቀ ሪፖርት በሚገባ አጠናቆ  100% ያስመዘገበ 5 ነጥብ ያገኛል                                                        2,ሰአቱን የጠበቀ ሪፖርት በሚገባ አጠናቆ  99% ያስመዘገበ 4 ነጥብ ያገኛል                                                           3,ሰአቱን የጠበቀ ሪፖርት በሚገባ አጠናቆ ክ94%-98% ያስመዘገበ 3 ነጥብ ያገኛል                                                          4, ሰአቱን የጠበቀ ሪፖርት በሚገባ አጠናቆ  89%-93% ያስመዘገበ 2 ነጥብ ያገኛል                                                             5,ሰአቱን የጠበቀ ሪፖርት በሚገባ አጠናቆ  84%-88% ያስመዘገበ 1 ነጥብ ያገኛል.</t>
  </si>
  <si>
    <t>Attendance (የስራ ሰአትን ጠብቆ ሰራ ቦታ ላይ መገኘት)</t>
  </si>
  <si>
    <t>በድርጅቱ የስራ ሰዓት መሰረት በስራ ቦታ መገኘት እና ጊዜን በአግባቡ ሥራ ላይ ብቻ ማዋል።</t>
  </si>
  <si>
    <t>1,በስራ ሰዓት ተገኝቶ  100% ያስመዘገበ 5 ነጥብ ያገኛል                                                               2,በስራ ሰዓት ተገኝቶ  99% ያስመዘገበ 4 ነጥብ ያገኛል                                                                 3,በስራ ሰዓት ተገኝቶ  ከ94%-98% ያስመዘገበ 3 ነጥብ ያገኛል                                                          4, በስራ ሰዓት ተገኝቶ   89%-93% ያስመዘገበ 2 ነጥብ ያገኛል                                                             5,በስራ ሰዓት ተገኝቶ   84%-88% ያስመዘገበ 2 ነጥብ ያገኛል.</t>
  </si>
  <si>
    <t>Total 2026</t>
  </si>
  <si>
    <t xml:space="preserve">                                        </t>
  </si>
  <si>
    <t>የመምሪያው/የስራ ክፍሉ ኃላፊ ፊርማ</t>
  </si>
  <si>
    <t>የሰራተኛው ፊርማ</t>
  </si>
  <si>
    <t>የፐርፎርማንስ ኦዲተር ፊርማ</t>
  </si>
  <si>
    <t>የሲኢኦ/CEO ፊርማ</t>
  </si>
  <si>
    <t>Score Rating Breakdown</t>
  </si>
  <si>
    <t>የውጤት ደረጃ አሰጣጥ</t>
  </si>
  <si>
    <t>ደረጃ</t>
  </si>
  <si>
    <t>ሁኔታ</t>
  </si>
  <si>
    <t>Greatly exceeds expetation</t>
  </si>
  <si>
    <t>በጣም ከሚጠበቀው በላይ</t>
  </si>
  <si>
    <t>Exceeds Expectation</t>
  </si>
  <si>
    <t>ከሚጠበቀው በላይ</t>
  </si>
  <si>
    <t>Meets expectation</t>
  </si>
  <si>
    <t>የሚጠበቀውን ያሟላል</t>
  </si>
  <si>
    <t>partialyly meets expectation</t>
  </si>
  <si>
    <t>የሚጠበቀውን በከፊል ያሟላል</t>
  </si>
  <si>
    <t>Failed to perform</t>
  </si>
  <si>
    <t>እቀዱን ማሳካት አልተቻለም</t>
  </si>
  <si>
    <t>ይሳኮር እምቢበል</t>
  </si>
  <si>
    <t>ጁኒየር አካውንታንት</t>
  </si>
  <si>
    <t xml:space="preserve">የሚመዘኑበት ዓመት          </t>
  </si>
  <si>
    <t>Document handling (የሰነድ አያያዝ )</t>
  </si>
  <si>
    <t>ሁሉም ክፍያዎች እና የገንዘብ ደረሰኞች በትክክል በህጋዊ ደረሰኞች የተደገፉ መሆናቸውን ማረጋገጥ እና ሁሉም ሰነዶች በቦክስ  ፋይል ውስጥ ምንም የጎደሉ ዶክመንቶች ሳይኖራቸው በትክክል መመዝገባቸውን በየጊዜው ማረጋገጥ</t>
  </si>
  <si>
    <t>1ሰነዶችን አያያዝ በሚገባ አጠናቆ  100% ያስመዘገበ 5 ነጥብ ያገኛል                                                        2.ሰነዶችን አያያዝ በሚገባ አጠናቆ  99% ያስመዘገበ 4 ነጥብ ያገኛል                                                           3,ሰነዶችን አያያዝ በሚገባ አጠናቆ ክ94%-98% ያስመዘገበ 3 ነጥብ ያገኛል                                                          4, ሰነዶችን አያያዝ በሚገባ አጠናቆ  89%-93% ያስመዘገበ 2 ነጥብ ያገኛል                                                             5,ሰነዶችን አያያዝ በሚገባ አጠናቆ  84%-88% ያስመዘገበ 1 ነጥብ ያገኛል.</t>
  </si>
  <si>
    <t>1, PV ወጪ ህጋዊ ዶክመንቶች ምዝገባን በሚገባ አጠናቆ  100% ያስመዘገበ 5 ነጥብ ያገኛል                                                        2, PV ወጪ ህጋዊ ዶክመንቶች ምዝገባን በሚገባ አጠናቆ  99% ያስመዘገበ 4 ነጥብ ያገኛል                                                           3 PV ወጪ ህጋዊ ዶክመንቶች ምዝገባንበሚገባ አጠናቆ ክ94%-98% ያስመዘገበ 3 ነጥብ ያገኛል                                                          4,  PV ወጪ ህጋዊ ዶክመንቶች ምዝገባን በሚገባ አጠናቆ  89%-93% ያስመዘገበ 2 ነጥብ ያገኛ5, PV ወጪ ህጋዊ ዶክመንቶችምዝገባን በሚገባ አጠናቆ  84%-88% ያስመዘገበ 1 ነጥብ ያገኛል.</t>
  </si>
  <si>
    <t>Attendance (የስራ ሰአትን ጠብቆ ሰራ ቦታ 
ላይ መገኘት)</t>
  </si>
  <si>
    <t>አቢዳ</t>
  </si>
  <si>
    <t>Av.Achievement =</t>
  </si>
  <si>
    <t>Done/target*100</t>
  </si>
  <si>
    <t>ሾሩም ኃላፊ</t>
  </si>
  <si>
    <t>የሽያጭ ማዕከል</t>
  </si>
  <si>
    <t>ግሎትሪየስ ኃላ/የተ/የግል ኩባንያ</t>
  </si>
  <si>
    <t>የታቀደው(Target )</t>
  </si>
  <si>
    <t>ወራዊ ሽያጭን ማሳካት</t>
  </si>
  <si>
    <t>በወር በትንሹ 12,500,000 (አስራ ሁለት ሚሊየን አምስት መቶ ሺ) ብር የሚያወጣ እቃ መሸጥ አለበት/ለድርጅቱ ገቢ መሆን አለበት።</t>
  </si>
  <si>
    <t>1.ከ99% እስከ 100% የወራዊ ሽያጭ ደረጃው 5 ነጥብ ይሆናል።                               2.ከ 96% እስከ 98%  የወራዊ ሽያጭ ደረጃው 4 ነጥብ ይሆናል።                                     3.ከ 90% እስከ 95%  የወራዊ ሽያጭ ደረጃው 3 ነጥብ ይሆናል።                               4.ከ 84% እስከ 89% ያለው  የወራዊ ሽያጭ ደረጃው 2 ነጥብ ይሆናል።                            5.ከ 79% እስከ 83%  የወራዊ ሽያጭ ደረጃው 1 ነጥብ ይሆናል።</t>
  </si>
  <si>
    <t>ወቅቱን የጠበቀ ሽያጭ ማከናወን</t>
  </si>
  <si>
    <t>ለሽያጭ የቀረቡትን ማንኛውንም እቃዎች በአንድ ወር ግዜ ውስጥ ሽጦ ማጠናቀቅ</t>
  </si>
  <si>
    <t>1.ከ99% እስከ 100% ወቅቱን የጠበቀ ሽያጭ ደረጃው 5 ነጥብ ይሆናል።                               2.ከ 96% እስከ 98% ወቅቱን የጠበቀ ሽያጭ ደረጃው 4 ነጥብ ይሆናል።                                     3.ከ 90% እስከ 95% ወቅቱን የጠበቀ ሽያጭ ደረጃው 3 ነጥብ ይሆናል።                               4.ከ 84% እስከ 89% ያለው ወቅቱን የጠበቀ ሽያጭ ደረጃው 2 ነጥብ ይሆናል።                            5.ከ 70% እስከ 83% ወቅቱን የጠበቀ ሽያጭ ደረጃው 1 ነጥብ ይሆናል።</t>
  </si>
  <si>
    <t>የደንበኛን ቁጥር መጨመር</t>
  </si>
  <si>
    <t>በአውን ሰዓት ካሉን ደንበኞች በተጨማሪ በወር በትንሹ 20(አያ) ደንበኛ የቤቱ አባል እንዲሆን መስራት (57 በ ሶስት ወር ውስጥ የተመዘገብ)</t>
  </si>
  <si>
    <t>1.ከ81% እስከ 100% የደንበኛን ቁጥር መጨመር ደረጃው 5 ነጥብ ይሆናል።                               2.ከ 71% እስከ 80% የደንበኛን ቁጥር መጨመር ደረጃው 4 ነጥብ ይሆናል።                                     3.ከ 60% እስከ 70% የደንበኛን ቁጥር መጨመር ደረጃው 3 ነጥብ ይሆናል።                               4.ከ 54% እስከ 59% ያለው የደንበኛን ቁጥር መጨመር ደረጃው 2 ነጥብ ይሆናል።                            5.ከ 50% እስከ 53% የደንበኛን ቁጥር መጨመር ደረጃው 1 ነጥብ ይሆናል።</t>
  </si>
  <si>
    <t>ወርሃዊ ቆጠራን በተመለከተ</t>
  </si>
  <si>
    <t>ሁሌም በወሩ መጀመሪያ ቀን ቆጠራ ማከናወን እና ከቆጠራ ጋር ተያይዞ ችግሮች ካጋጠሙ በሳምንት ግዜ ውስጥ ማጥራት እና ለሚመለከተው የስራ ክፍል ማድረስ</t>
  </si>
  <si>
    <t>1.ከ81% እስከ 100% ወርሃዊ ቆጠራ ደረጃው 5 ነጥብ ይሆናል።                               2.ከ 71% እስከ 80% ወርሃዊ ቆጠራ  ደረጃው 4 ነጥብ ይሆናል።                                     3.ከ 60% እስከ 70% ወርሃዊ ቆጠራ ደረጃው 3 ነጥብ ይሆናል።                               4.ከ 54% እስከ 59% ወርሃዊ ቆጠራ ር ደረጃው 2 ነጥብ ይሆናል።                            5.ከ 50% እስከ 53% ወርሃዊ ቆጠራ  ደረጃው 1 ነጥብ ይሆናል።</t>
  </si>
  <si>
    <t>ስራ ቦታ ላይ መገኘት</t>
  </si>
  <si>
    <t>ሰራተኛው በድርጅቱ የስራ ሰዓት መሰረት በስራ ቦታ መ ገኘት አለበት.</t>
  </si>
  <si>
    <t>1.ከ99% እስከ 100%ስራ ቦታ ላይ መገኘት ደረጃው 5 ነጥብ ይሆናል።                               2.ከ 96% እስከ 98% ስራ ቦታ ላይ መገኘት ደረጃው 4 ነጥብ ይሆናል።                                     3.ከ 90% እስከ 95% ስራ ቦታ ላይ መገኘት ደረጃው 3 ነጥብ ይሆናል።                               4.ከ 84% እስከ 89% ያለው ስራ ቦታ ላይ መገኘት ደረጃው 2 ነጥብ ይሆናል።                            5.ከ 79% እስከ 83% ስራ ቦታ ላይ መገኘት ደረጃው 1 ነጥብ ይሆናል።</t>
  </si>
  <si>
    <t>ናዲያ</t>
  </si>
  <si>
    <t>በአውን ሰዓት ካሉን ደንበኞች በተጨማሪ በወር በትንሹ 10(ኣስር) ደንበኛ የቤቱ አባል እንዲሆን መስራት(84 ሰው መዝግባለች)</t>
  </si>
  <si>
    <t>1.ከ81% እስከ 100% የደንበኛን ቁጥር መጨመር ደረጃው 5 ነጥብ ይሆናል።                               2.ከ 71% እስከ 80% የደንበኛን ቁጥር መጨመር ደረጃው 4 ነጥብ ይሆናል።                                     3.ከ 60% እስከ 70% የደንበኛን ቁጥር መጨመር ደረጃው 3 ነጥብ ይሆናል።                               4.ከ 54% እስከ 59% ያለው የደንበኛን ቁጥር መጨመር ደረጃው 2 ነጥብ ይሆናል5.ከ 50% እስከ 53% የደንበኛን ቁጥር መጨመር ደረጃው 1 ነጥብ ይሆናል።</t>
  </si>
  <si>
    <t>1.ከ81% እስከ 100% የወራዊ ቆጠራ ደረጃው 5 ነጥብ ይሆናል።                               2.ከ 71% እስከ 80% የወራዊ ቆጠራ ደረጃው 4 ነጥብ ይሆናል።                                     3.ከ 60% እስከ 70% የወራዊ ቆጠራ ደረጃው 3 ነጥብ ይሆናል።                               4.ከ 54% እስከ 59% የወራዊ ቆጠራ ደረጃው 2 ነጥብ ይሆናል                             5.ከ 50% እስከ 53% የወራዊ ቆጠራ ደረጃው 1 ነጥብ ይሆናል።</t>
  </si>
  <si>
    <t>ሰራተኛው በድርጅቱ የስራ ሰዓት መሰረት በስራ ቦታ መገኘት አለበት.</t>
  </si>
  <si>
    <t>ሙና</t>
  </si>
  <si>
    <t>ፒያሳ/ግሎሪየስ</t>
  </si>
  <si>
    <t>Jan-March/2026</t>
  </si>
  <si>
    <t>በወር በትንሹ 7,000,000 (ሰባት  ሚሊየን) ብር የሚያወጣ እቃ መሸጥ አለበት/ለድርጅቱ ገቢ መሆን አለበት።</t>
  </si>
  <si>
    <t>ዳሜጅ የነበሩ እና ተጠግነው ለሽያጭ ሊቀርቡ  የሚችሉ እቃዎችን በሰዓቱ መሸጥ</t>
  </si>
  <si>
    <t>ቢያስ በሳምንት 10  የሆኑ ዳሜጅ የነበሩ እና ተጠግነው ለሽያጭ ሊቀርቡ  የሚችሉ እቃዎችን መሸጥ(6 እቃዎች ከጥገና ክፍል ተጠግው ቢመለሱም አልተሸጡም)</t>
  </si>
  <si>
    <t>በአውን ሰዓት ካሉን ደንበኞች በተጨማሪ በወር በትንሹ 5(አምስት) ደንበኛ የቤቱ አባል እንዲሆን መስራት</t>
  </si>
  <si>
    <t>1.ከ81% እስከ 100% የደንበኛን ቁጥር መጨመር ደረጃው 5 ነጥብ ይሆናል።                               2.ከ 71% እስከ 80% የደንበኛን ቁጥር መጨመር ደረጃው 4 ነጥብ ይሆናል።                                     3.ከ 60% እስከ 70% የደንበኛን ቁጥር መጨመር ደረጃው 3 ነጥብ ይሆናል።                               4.ከ 54% እስከ 59% ያለው የደንበኛን ቁጥር መጨመር ደረጃው 2 ነጥብ ይሆናል 5.ከ 50% እስከ 53% የደንበኛን ቁጥር መጨመር ደረጃው 1 ነጥብ ይሆናል።</t>
  </si>
  <si>
    <t>መጠገን ያለባችውን እቃዎች በሰዓቱ ወደ ጥገና ክፍል መላክ</t>
  </si>
  <si>
    <t>በወር ቢያንስ 20 ሊጠገኑ የሚችሉ እቃዎችን ወደ ጥገና ክፍል መላክ(ጠቅላላ የላከችው እቃ 27 ሲሆን 6 ተጠግው ቢመለሱም አልተሸጡም)</t>
  </si>
  <si>
    <t>1.ከ99% እስከ 100% እቃዎችን ወደ ጥገና መላክ ደረጃው 5 ነጥብ ይሆናል።                               2.ከ 96% እስከ 98% እቃዎችን ወደ ጥገና መላክ ደረጃው 4 ነጥብ ይሆናል።                                     3.ከ 90% እስከ 95% እቃዎችን ወደ ጥገና መላክ ደረጃው 3 ነጥብ ይሆናል።                               4.ከ 84% እስከ 89% እቃዎችን ወደ ጥገና መላክ ደረጃው 2 ነጥብ ይሆናል5.ከ 79% እስከ 83% እቃዎችን ወደ ጥገና መላክ ደረጃው 1 ነጥብ ይሆናል።</t>
  </si>
  <si>
    <t>1.ከ81% እስከ 100% የተሟላ ቆጠራ ደረጃው 5 ነጥብ ይሆናል።                               2.ከ 71% እስከ 80% የተሟላ ቆጠራ ደረጃው 4 ነጥብ ይሆናል።                                     3.ከ 60% እስከ 70% የተሟላ ቆጠራ  ደረጃው 3 ነጥብ ይሆናል።                               4.ከ 54% እስከ 59% የተሟላ ቆጠራ  ደረጃው 2 ነጥብ ይሆናል                            5.ከ 50% እስከ 53% የደንበኛን ቁጥር መጨመር ደረጃው 1 ነጥብ ይሆናል።</t>
  </si>
  <si>
    <t>በወር በትንሹ 10,000,000 (አስር ሚሊየን) ብር የሚያወጣ እቃ መሸጥ አለበት/ለድርጅቱ ገቢ መሆን አለበት።</t>
  </si>
  <si>
    <t>በአውን ሰዓት ካሉን ደንበኞች በተጨማሪ በወር በትንሹ 10(ኣስር) ደንበኛ የቤቱ አባል እንዲሆን መስራት (155 በ3 ወር ውስጥ ተመዝግቧል)</t>
  </si>
  <si>
    <t>1.ከ81% እስከ 100% ወራዊ ቆጠራን ማጠናቀቅ ደረጃው 5 ነጥብ ይሆናል።                               2.ከ 71% እስከ 80% ወራዊ ቆጠራን ማጠናቀቅ ደረጃው 4 ነጥብ ይሆናል።                                     3.ከ 60% እስከ 70% ወራዊ ቆጠራን ማጠናቀቅ ደረጃው 3 ነጥብ ይሆናል።                               4.ከ 54% እስከ 59% ወራዊ ቆጠራን ማጠናቀቅ ደረጃው 2 ነጥብ ይሆናል።                            5.ከ 50% እስከ 53% ወራዊ ቆጠራን ማጠናቀቅ ደረጃው 1 ነጥብ ይሆናል።</t>
  </si>
  <si>
    <t>ወሲላ ሂብራሂም</t>
  </si>
  <si>
    <t>ዲጂታል ማርኬቲንግ ኃላፊ</t>
  </si>
  <si>
    <t>ሽያጭ</t>
  </si>
  <si>
    <t>በወር በትንሹ7,000,000 ብር የሚያወጣ እቃ መሸጥ አለበት።</t>
  </si>
  <si>
    <t>1.ከ99% እስከ 100% ወቅቱን የጠበቀ ሽያጭ ደረጃው 5 ነጥብ ይሆናል።                               2.ከ 96% እስከ 98% ወቅቱን የጠበቀ ሽያጭ ደረጃው 4 ነጥብ ይሆናል።                                     3.ከ 90% እስከ 95%  ወቅቱን የጠበቀ ሽያጭ ደረጃው 3 ነጥብ ይሆናል።                               4.ከ 84% እስከ 89% ወቅቱን የጠበቀ ሽያጭ ደረጃው 2 ነጥብ ይሆናል።                            5.ከ 79% እስከ 83%  ወቅቱን የጠበቀ ሽያጭ ደረጃው 1 ነጥብ ይሆናል።</t>
  </si>
  <si>
    <t>ድርጅቱ ደረጃውን እንዳይለቅ ጠንክሮ መስራት</t>
  </si>
  <si>
    <t>ድርጅቱ  በደንበኞች በኩል የሚያገኝውን ከፍተኛ የደረጃ ማርክ (5 ነጥብ) ሳይለቅ ጠብቆ እንዲቆይ መስራት</t>
  </si>
  <si>
    <t>1.ከ99% እስከ 100%  የደረጃ ማርክ ውጤት ደረጃው  5 ነጥብ ይሆናል።                               2.ከ 96% እስከ 98% የደረጃ ማርክ ውጤት ደረጃው 4 ነጥብ ይሆናል።                                     3.ከ 90% እስከ 95% የደረጃ ማርክ ውጤት ደረጃው 3 ነጥብ ይሆናል።                               4.ከ 84% እስከ 89% የደረጃ ማርክ ውጤት ደረጃው ደረጃው 2 ነጥብ ይሆናል።                            5.ከ 79% እስከ 83% የደረጃ ማርክ ውጤት ደረጃው 1 ነጥብ ይሆናል።</t>
  </si>
  <si>
    <t>መሸጫ ሱቆች ላይ ሳይሸጡ የቆዩ እቃዎችን እንዲሸጡ ማድረግ</t>
  </si>
  <si>
    <t>በወር ቢያንስ 10 የሚሆኑ ሳይሸጡ የቆዩ እቃዎችን ከ ሱቆች ላይ በመውሰድ አንዲሸጡ ማድረግ</t>
  </si>
  <si>
    <t>1.ከ99% እስከ 100% ሳይሸጡ የቆዩ እቃዎች ደረጃው 5 ነጥብ ይሆናል።                               2.ከ 96% እስከ 98% ሳይሸጡ የቆዩ እቃዎች ደረጃው 4 ነጥብ ይሆናል።                                     3.ከ 90% እስከ 95% ሳይሸጡ የቆዩ እቃዎች ደረጃው 3 ነጥብ ይሆናል።                               4.ከ 84% እስከ 89% ሳይሸጡ የቆዩ እቃዎች ደረጃው 2 ነጥብ ይሆናል።                            5.ከ 79% እስከ 83% ሳይሸጡ የቆዩ እቃዎች ደረጃው 1 ነጥብ ይሆናል።</t>
  </si>
  <si>
    <t>የሽያጭ ደረሰኞችን በሰዓቱ መሰብሰባቸው እና ሂሳቡም ወደ ድርጅቱ አካውንት መግባቱን ማረጋገጥ</t>
  </si>
  <si>
    <t>ከሽያጭ  የሚገኙ  ገቢዎች  በእለቱ ወደ ድርጅቱ አካውንት መግባታቸውን እና  ሽያጭ የተከናወነባችው የየህለቱ ደረሰኞቹ በአግባቡ መሰብሰባቸውን  ማረጋገጥ</t>
  </si>
  <si>
    <t>1.ከ99% እስከ 100% ለተሰበሰቡ  ደረሰኞች ደረጃው 5 ነጥብ ይሆናል።                               2.ከ 96% እስከ 98% ለተሰበሰቡ  ደረሰኞች ደረጃው 4 ነጥብ ይሆናል።                                     3.ከ 90% እስከ 95% ለተሰበሰቡ  ደረሰኞች ደረጃው 3 ነጥብ ይሆናል።                               4.ከ 84% እስከ 89% ለተሰበሰቡ  ደረሰኞች ደረጃው 2 ነጥብ ይሆናል።                            5.ከ 79% እስከ 83% ለተሰበሰቡ  ደረሰኞች ደረጃው 1 ነጥብ ይሆናል።</t>
  </si>
  <si>
    <t>1.ከ99% እስከ 100% ስራ ቦታ ላይ መገኘት ደረጃው 5 ነጥብ ይሆናል።                               2.ከ 96% እስከ 98% ስራ ቦታ ላይ መገኘት ደረጃው 4 ነጥብ ይሆናል።                                     3.ከ 90% እስከ 95% ስራ ቦታ ላይ መገኘት ደረጃው 3 ነጥብ ይሆናል።                               4.ከ 84% እስከ 89% ያለው ስራ ቦታ ላይ መገኘት ደረጃው 2 ነጥብ ይሆናል።                            5.ከ 79% እስከ 83% ስራ ቦታ ላይ መገኘት ደረጃው 1 ነጥብ ይሆናል።</t>
  </si>
  <si>
    <t>አባይ ሉላ</t>
  </si>
  <si>
    <t>አብዱልፈታ ዲኖ</t>
  </si>
  <si>
    <t>ግሎሪየስ ኃላ/የተ/የግል ኩባንያ</t>
  </si>
  <si>
    <t>ጋሻው  ታደሰ</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</si>
</sst>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3" formatCode="_(* #,##0.00_);_(* \(#,##0.00\);_(* &quot;-&quot;??_);_(@_)"/>
    <numFmt numFmtId="44" formatCode="_(&quot;$&quot;* #,##0.00_);_(&quot;$&quot;* \(#,##0.00\);_(&quot;$&quot;* &quot;-&quot;??_);_(@_)"/>
    <numFmt numFmtId="176" formatCode="_ * #,##0_ ;_ * \-#,##0_ ;_ * &quot;-&quot;_ ;_ @_ "/>
    <numFmt numFmtId="177" formatCode="0.00;[Red]0.00"/>
    <numFmt numFmtId="178" formatCode="_(* #,##0_);_(* \(#,##0\);_(* &quot;-&quot;??_);_(@_)"/>
    <numFmt numFmtId="179" formatCode="_(* #,##0.0_);_(* \(#,##0.0\);_(* &quot;-&quot;??_);_(@_)"/>
  </numFmts>
  <fonts count="53">
    <font>
      <sz val="11"/>
      <color theme="1"/>
      <name val="Aptos Narrow"/>
      <charset val="134"/>
      <scheme val="minor"/>
    </font>
    <font>
      <sz val="10"/>
      <color theme="1"/>
      <name val="Aptos Narrow"/>
      <charset val="134"/>
      <scheme val="minor"/>
    </font>
    <font>
      <sz val="10"/>
      <color theme="1"/>
      <name val="Cambria"/>
      <charset val="134"/>
    </font>
    <font>
      <sz val="11"/>
      <color theme="1"/>
      <name val="Times New Roman"/>
      <charset val="134"/>
    </font>
    <font>
      <b/>
      <sz val="20"/>
      <color theme="1"/>
      <name val="Ebrima"/>
      <charset val="134"/>
    </font>
    <font>
      <b/>
      <sz val="10"/>
      <color theme="1"/>
      <name val="Ebrima"/>
      <charset val="134"/>
    </font>
    <font>
      <b/>
      <i/>
      <sz val="10"/>
      <color theme="1"/>
      <name val="Aptos Narrow"/>
      <charset val="134"/>
      <scheme val="minor"/>
    </font>
    <font>
      <b/>
      <sz val="20"/>
      <color theme="1"/>
      <name val="Aptos Narrow"/>
      <charset val="134"/>
      <scheme val="minor"/>
    </font>
    <font>
      <b/>
      <i/>
      <sz val="10"/>
      <color theme="1"/>
      <name val="Ebrima"/>
      <charset val="134"/>
    </font>
    <font>
      <b/>
      <i/>
      <sz val="10"/>
      <name val="Arial"/>
      <charset val="134"/>
    </font>
    <font>
      <b/>
      <sz val="12"/>
      <color theme="1"/>
      <name val="Cambria"/>
      <charset val="134"/>
    </font>
    <font>
      <b/>
      <sz val="12"/>
      <color theme="1"/>
      <name val="Ebrima"/>
      <charset val="134"/>
    </font>
    <font>
      <b/>
      <sz val="12"/>
      <color theme="1"/>
      <name val="Power"/>
      <charset val="134"/>
    </font>
    <font>
      <sz val="10"/>
      <color theme="1"/>
      <name val="Ebrima"/>
      <charset val="134"/>
    </font>
    <font>
      <b/>
      <sz val="10"/>
      <color theme="1"/>
      <name val="Aptos Narrow"/>
      <charset val="134"/>
      <scheme val="minor"/>
    </font>
    <font>
      <sz val="16"/>
      <color theme="1"/>
      <name val="Times New Roman"/>
      <charset val="134"/>
    </font>
    <font>
      <b/>
      <sz val="11"/>
      <color theme="1"/>
      <name val="Aptos Narrow"/>
      <charset val="134"/>
      <scheme val="minor"/>
    </font>
    <font>
      <sz val="11"/>
      <color theme="1"/>
      <name val="Ebrima"/>
      <charset val="134"/>
    </font>
    <font>
      <b/>
      <sz val="8"/>
      <color theme="1"/>
      <name val="Ebrima"/>
      <charset val="134"/>
    </font>
    <font>
      <b/>
      <i/>
      <sz val="10"/>
      <name val="Ebrima"/>
      <charset val="134"/>
    </font>
    <font>
      <sz val="12"/>
      <color theme="1"/>
      <name val="Ebrima"/>
      <charset val="134"/>
    </font>
    <font>
      <sz val="12"/>
      <color theme="1"/>
      <name val="Cambria"/>
      <charset val="134"/>
    </font>
    <font>
      <sz val="12"/>
      <color theme="1"/>
      <name val="Aptos Narrow"/>
      <charset val="134"/>
      <scheme val="minor"/>
    </font>
    <font>
      <sz val="10.5"/>
      <color theme="1"/>
      <name val="Ebrima"/>
      <charset val="134"/>
    </font>
    <font>
      <b/>
      <sz val="14"/>
      <color theme="1"/>
      <name val="Aptos Narrow"/>
      <charset val="134"/>
      <scheme val="minor"/>
    </font>
    <font>
      <sz val="16"/>
      <color theme="1"/>
      <name val="Ebrima"/>
      <charset val="134"/>
    </font>
    <font>
      <b/>
      <sz val="11"/>
      <color theme="1"/>
      <name val="Ebrima"/>
      <charset val="134"/>
    </font>
    <font>
      <sz val="10"/>
      <name val="Ebrima"/>
      <charset val="134"/>
    </font>
    <font>
      <sz val="14"/>
      <color theme="1"/>
      <name val="Ebrima"/>
      <charset val="134"/>
    </font>
    <font>
      <sz val="10"/>
      <color rgb="FF000000"/>
      <name val="Ebrima"/>
      <charset val="134"/>
    </font>
    <font>
      <b/>
      <sz val="14"/>
      <color theme="1"/>
      <name val="Ebrima"/>
      <charset val="134"/>
    </font>
    <font>
      <b/>
      <sz val="10"/>
      <color theme="1"/>
      <name val="Cambria"/>
      <charset val="134"/>
    </font>
    <font>
      <b/>
      <sz val="11"/>
      <color theme="1"/>
      <name val="Times New Roman"/>
      <charset val="134"/>
    </font>
    <font>
      <sz val="8"/>
      <color theme="1"/>
      <name val="Ebrima"/>
      <charset val="134"/>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5">
    <fill>
      <patternFill patternType="none"/>
    </fill>
    <fill>
      <patternFill patternType="gray125"/>
    </fill>
    <fill>
      <patternFill patternType="solid">
        <fgColor theme="0"/>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5"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style="double">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xf numFmtId="44" fontId="0" fillId="0" borderId="0" applyFont="0" applyFill="0" applyBorder="0" applyAlignment="0" applyProtection="0">
      <alignment vertical="center"/>
    </xf>
    <xf numFmtId="9" fontId="0" fillId="0" borderId="0" applyFont="0" applyFill="0" applyBorder="0" applyAlignment="0" applyProtection="0"/>
    <xf numFmtId="176" fontId="0" fillId="0" borderId="0" applyFont="0" applyFill="0" applyBorder="0" applyAlignment="0" applyProtection="0">
      <alignment vertical="center"/>
    </xf>
    <xf numFmtId="42"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0" fillId="6" borderId="10"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11" applyNumberFormat="0" applyFill="0" applyAlignment="0" applyProtection="0">
      <alignment vertical="center"/>
    </xf>
    <xf numFmtId="0" fontId="40" fillId="0" borderId="11" applyNumberFormat="0" applyFill="0" applyAlignment="0" applyProtection="0">
      <alignment vertical="center"/>
    </xf>
    <xf numFmtId="0" fontId="41" fillId="0" borderId="12" applyNumberFormat="0" applyFill="0" applyAlignment="0" applyProtection="0">
      <alignment vertical="center"/>
    </xf>
    <xf numFmtId="0" fontId="41" fillId="0" borderId="0" applyNumberFormat="0" applyFill="0" applyBorder="0" applyAlignment="0" applyProtection="0">
      <alignment vertical="center"/>
    </xf>
    <xf numFmtId="0" fontId="42" fillId="7" borderId="13" applyNumberFormat="0" applyAlignment="0" applyProtection="0">
      <alignment vertical="center"/>
    </xf>
    <xf numFmtId="0" fontId="43" fillId="8" borderId="14" applyNumberFormat="0" applyAlignment="0" applyProtection="0">
      <alignment vertical="center"/>
    </xf>
    <xf numFmtId="0" fontId="44" fillId="8" borderId="13" applyNumberFormat="0" applyAlignment="0" applyProtection="0">
      <alignment vertical="center"/>
    </xf>
    <xf numFmtId="0" fontId="45" fillId="9" borderId="15" applyNumberFormat="0" applyAlignment="0" applyProtection="0">
      <alignment vertical="center"/>
    </xf>
    <xf numFmtId="0" fontId="46" fillId="0" borderId="16" applyNumberFormat="0" applyFill="0" applyAlignment="0" applyProtection="0">
      <alignment vertical="center"/>
    </xf>
    <xf numFmtId="0" fontId="47" fillId="0" borderId="17" applyNumberFormat="0" applyFill="0" applyAlignment="0" applyProtection="0">
      <alignment vertical="center"/>
    </xf>
    <xf numFmtId="0" fontId="48" fillId="10" borderId="0" applyNumberFormat="0" applyBorder="0" applyAlignment="0" applyProtection="0">
      <alignment vertical="center"/>
    </xf>
    <xf numFmtId="0" fontId="49" fillId="11" borderId="0" applyNumberFormat="0" applyBorder="0" applyAlignment="0" applyProtection="0">
      <alignment vertical="center"/>
    </xf>
    <xf numFmtId="0" fontId="50" fillId="12" borderId="0" applyNumberFormat="0" applyBorder="0" applyAlignment="0" applyProtection="0">
      <alignment vertical="center"/>
    </xf>
    <xf numFmtId="0" fontId="51" fillId="13" borderId="0" applyNumberFormat="0" applyBorder="0" applyAlignment="0" applyProtection="0">
      <alignment vertical="center"/>
    </xf>
    <xf numFmtId="0" fontId="52" fillId="14" borderId="0" applyNumberFormat="0" applyBorder="0" applyAlignment="0" applyProtection="0">
      <alignment vertical="center"/>
    </xf>
    <xf numFmtId="0" fontId="52" fillId="4" borderId="0" applyNumberFormat="0" applyBorder="0" applyAlignment="0" applyProtection="0">
      <alignment vertical="center"/>
    </xf>
    <xf numFmtId="0" fontId="51" fillId="15" borderId="0" applyNumberFormat="0" applyBorder="0" applyAlignment="0" applyProtection="0">
      <alignment vertical="center"/>
    </xf>
    <xf numFmtId="0" fontId="51" fillId="16" borderId="0" applyNumberFormat="0" applyBorder="0" applyAlignment="0" applyProtection="0">
      <alignment vertical="center"/>
    </xf>
    <xf numFmtId="0" fontId="52" fillId="3" borderId="0" applyNumberFormat="0" applyBorder="0" applyAlignment="0" applyProtection="0">
      <alignment vertical="center"/>
    </xf>
    <xf numFmtId="0" fontId="52" fillId="17" borderId="0" applyNumberFormat="0" applyBorder="0" applyAlignment="0" applyProtection="0">
      <alignment vertical="center"/>
    </xf>
    <xf numFmtId="0" fontId="51" fillId="18" borderId="0" applyNumberFormat="0" applyBorder="0" applyAlignment="0" applyProtection="0">
      <alignment vertical="center"/>
    </xf>
    <xf numFmtId="0" fontId="51" fillId="19" borderId="0" applyNumberFormat="0" applyBorder="0" applyAlignment="0" applyProtection="0">
      <alignment vertical="center"/>
    </xf>
    <xf numFmtId="0" fontId="52" fillId="20" borderId="0" applyNumberFormat="0" applyBorder="0" applyAlignment="0" applyProtection="0">
      <alignment vertical="center"/>
    </xf>
    <xf numFmtId="0" fontId="52" fillId="21" borderId="0" applyNumberFormat="0" applyBorder="0" applyAlignment="0" applyProtection="0">
      <alignment vertical="center"/>
    </xf>
    <xf numFmtId="0" fontId="51" fillId="22" borderId="0" applyNumberFormat="0" applyBorder="0" applyAlignment="0" applyProtection="0">
      <alignment vertical="center"/>
    </xf>
    <xf numFmtId="0" fontId="51" fillId="23" borderId="0" applyNumberFormat="0" applyBorder="0" applyAlignment="0" applyProtection="0">
      <alignment vertical="center"/>
    </xf>
    <xf numFmtId="0" fontId="52" fillId="24" borderId="0" applyNumberFormat="0" applyBorder="0" applyAlignment="0" applyProtection="0">
      <alignment vertical="center"/>
    </xf>
    <xf numFmtId="0" fontId="52" fillId="25" borderId="0" applyNumberFormat="0" applyBorder="0" applyAlignment="0" applyProtection="0">
      <alignment vertical="center"/>
    </xf>
    <xf numFmtId="0" fontId="51" fillId="26" borderId="0" applyNumberFormat="0" applyBorder="0" applyAlignment="0" applyProtection="0">
      <alignment vertical="center"/>
    </xf>
    <xf numFmtId="0" fontId="51" fillId="27" borderId="0" applyNumberFormat="0" applyBorder="0" applyAlignment="0" applyProtection="0">
      <alignment vertical="center"/>
    </xf>
    <xf numFmtId="0" fontId="52" fillId="28" borderId="0" applyNumberFormat="0" applyBorder="0" applyAlignment="0" applyProtection="0">
      <alignment vertical="center"/>
    </xf>
    <xf numFmtId="0" fontId="52" fillId="29" borderId="0" applyNumberFormat="0" applyBorder="0" applyAlignment="0" applyProtection="0">
      <alignment vertical="center"/>
    </xf>
    <xf numFmtId="0" fontId="51" fillId="30" borderId="0" applyNumberFormat="0" applyBorder="0" applyAlignment="0" applyProtection="0">
      <alignment vertical="center"/>
    </xf>
    <xf numFmtId="0" fontId="51" fillId="31" borderId="0" applyNumberFormat="0" applyBorder="0" applyAlignment="0" applyProtection="0">
      <alignment vertical="center"/>
    </xf>
    <xf numFmtId="0" fontId="52" fillId="32" borderId="0" applyNumberFormat="0" applyBorder="0" applyAlignment="0" applyProtection="0">
      <alignment vertical="center"/>
    </xf>
    <xf numFmtId="0" fontId="52" fillId="33" borderId="0" applyNumberFormat="0" applyBorder="0" applyAlignment="0" applyProtection="0">
      <alignment vertical="center"/>
    </xf>
    <xf numFmtId="0" fontId="51" fillId="34" borderId="0" applyNumberFormat="0" applyBorder="0" applyAlignment="0" applyProtection="0">
      <alignment vertical="center"/>
    </xf>
  </cellStyleXfs>
  <cellXfs count="133">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0" borderId="0" xfId="0" applyFont="1"/>
    <xf numFmtId="0" fontId="1" fillId="0" borderId="0" xfId="0" applyFont="1" applyAlignment="1">
      <alignment horizontal="center"/>
    </xf>
    <xf numFmtId="0" fontId="1" fillId="0" borderId="0" xfId="0" applyFont="1" applyAlignment="1">
      <alignment horizontal="center" vertical="center"/>
    </xf>
    <xf numFmtId="0" fontId="4" fillId="0" borderId="2" xfId="0" applyFont="1" applyBorder="1" applyAlignment="1">
      <alignment horizontal="center" vertical="center"/>
    </xf>
    <xf numFmtId="0" fontId="5" fillId="0" borderId="2" xfId="0" applyFont="1" applyBorder="1" applyAlignment="1">
      <alignment horizontal="left" vertical="center"/>
    </xf>
    <xf numFmtId="0" fontId="6" fillId="0" borderId="3" xfId="0" applyFont="1" applyBorder="1" applyAlignment="1">
      <alignment horizontal="center"/>
    </xf>
    <xf numFmtId="0" fontId="7" fillId="0" borderId="0" xfId="0" applyFont="1" applyAlignment="1">
      <alignment horizontal="center" vertical="center"/>
    </xf>
    <xf numFmtId="177" fontId="1" fillId="0" borderId="0" xfId="0" applyNumberFormat="1" applyFont="1" applyAlignment="1">
      <alignment horizontal="center" vertical="center"/>
    </xf>
    <xf numFmtId="0" fontId="8" fillId="0" borderId="3" xfId="0" applyFont="1" applyBorder="1" applyAlignment="1">
      <alignment horizontal="center"/>
    </xf>
    <xf numFmtId="17" fontId="9" fillId="0" borderId="3" xfId="0" applyNumberFormat="1" applyFont="1" applyBorder="1" applyAlignment="1">
      <alignment horizontal="center"/>
    </xf>
    <xf numFmtId="0" fontId="10" fillId="3" borderId="2" xfId="0" applyFont="1" applyFill="1" applyBorder="1" applyAlignment="1">
      <alignment horizontal="center" vertical="center" wrapText="1"/>
    </xf>
    <xf numFmtId="0" fontId="11" fillId="4" borderId="2" xfId="0" applyFont="1" applyFill="1" applyBorder="1" applyAlignment="1">
      <alignment horizontal="center" vertical="center" wrapText="1"/>
    </xf>
    <xf numFmtId="177" fontId="11" fillId="4" borderId="2" xfId="0" applyNumberFormat="1" applyFont="1" applyFill="1" applyBorder="1" applyAlignment="1">
      <alignment horizontal="center" vertical="center" wrapText="1"/>
    </xf>
    <xf numFmtId="0" fontId="12" fillId="4" borderId="2" xfId="0" applyFont="1" applyFill="1" applyBorder="1" applyAlignment="1">
      <alignment horizontal="center" vertical="center" wrapText="1"/>
    </xf>
    <xf numFmtId="0" fontId="13" fillId="2" borderId="2" xfId="0" applyFont="1" applyFill="1" applyBorder="1" applyAlignment="1">
      <alignment horizontal="left" vertical="center" wrapText="1"/>
    </xf>
    <xf numFmtId="9" fontId="13" fillId="2" borderId="2" xfId="3" applyFont="1" applyFill="1" applyBorder="1" applyAlignment="1">
      <alignment horizontal="center" vertical="center"/>
    </xf>
    <xf numFmtId="9" fontId="13" fillId="2" borderId="2" xfId="0" applyNumberFormat="1" applyFont="1" applyFill="1" applyBorder="1" applyAlignment="1">
      <alignment horizontal="center" vertical="center" wrapText="1"/>
    </xf>
    <xf numFmtId="178" fontId="13" fillId="2" borderId="2" xfId="1" applyNumberFormat="1" applyFont="1" applyFill="1" applyBorder="1" applyAlignment="1">
      <alignment horizontal="center" vertical="center" wrapText="1"/>
    </xf>
    <xf numFmtId="178" fontId="13" fillId="2" borderId="2" xfId="0" applyNumberFormat="1" applyFont="1" applyFill="1" applyBorder="1" applyAlignment="1">
      <alignment horizontal="center" vertical="center" wrapText="1"/>
    </xf>
    <xf numFmtId="0" fontId="13" fillId="2" borderId="2" xfId="0" applyFont="1" applyFill="1" applyBorder="1" applyAlignment="1">
      <alignment vertical="center" wrapText="1"/>
    </xf>
    <xf numFmtId="9" fontId="13" fillId="0" borderId="2" xfId="3" applyFont="1" applyBorder="1" applyAlignment="1">
      <alignment horizontal="center" vertical="center"/>
    </xf>
    <xf numFmtId="178" fontId="13" fillId="0" borderId="2" xfId="1" applyNumberFormat="1" applyFont="1" applyBorder="1" applyAlignment="1">
      <alignment horizontal="center" vertical="center"/>
    </xf>
    <xf numFmtId="178" fontId="13" fillId="0" borderId="2" xfId="1" applyNumberFormat="1" applyFont="1" applyFill="1" applyBorder="1" applyAlignment="1">
      <alignment horizontal="center" vertical="center" wrapText="1"/>
    </xf>
    <xf numFmtId="179" fontId="5" fillId="2" borderId="2" xfId="1" applyNumberFormat="1" applyFont="1" applyFill="1" applyBorder="1" applyAlignment="1">
      <alignment vertical="center"/>
    </xf>
    <xf numFmtId="0" fontId="1" fillId="0" borderId="4" xfId="0" applyFont="1" applyBorder="1" applyAlignment="1">
      <alignment horizontal="center" wrapText="1"/>
    </xf>
    <xf numFmtId="0" fontId="1" fillId="0" borderId="5" xfId="0" applyFont="1" applyBorder="1" applyAlignment="1">
      <alignment horizontal="center" wrapText="1"/>
    </xf>
    <xf numFmtId="9" fontId="1" fillId="0" borderId="2" xfId="3" applyFont="1" applyBorder="1" applyAlignment="1">
      <alignment horizontal="center" vertical="center"/>
    </xf>
    <xf numFmtId="178" fontId="1" fillId="0" borderId="2" xfId="1" applyNumberFormat="1" applyFont="1" applyBorder="1" applyAlignment="1">
      <alignment horizontal="center" vertical="center"/>
    </xf>
    <xf numFmtId="178" fontId="1" fillId="0" borderId="2" xfId="1" applyNumberFormat="1" applyFont="1" applyFill="1" applyBorder="1" applyAlignment="1">
      <alignment horizontal="center" vertical="center" wrapText="1"/>
    </xf>
    <xf numFmtId="179" fontId="14" fillId="2" borderId="2" xfId="1" applyNumberFormat="1" applyFont="1" applyFill="1" applyBorder="1" applyAlignment="1">
      <alignment vertical="center"/>
    </xf>
    <xf numFmtId="49" fontId="2" fillId="2" borderId="2" xfId="1" applyNumberFormat="1" applyFont="1" applyFill="1" applyBorder="1" applyAlignment="1">
      <alignment vertical="top" wrapText="1"/>
    </xf>
    <xf numFmtId="0" fontId="0" fillId="0" borderId="0" xfId="0" applyAlignment="1">
      <alignment horizontal="center" wrapText="1"/>
    </xf>
    <xf numFmtId="0" fontId="5" fillId="0" borderId="6" xfId="0" applyFont="1" applyBorder="1"/>
    <xf numFmtId="0" fontId="5" fillId="0" borderId="0" xfId="0" applyFont="1" applyAlignment="1">
      <alignment horizontal="center" vertical="center" wrapText="1"/>
    </xf>
    <xf numFmtId="0" fontId="14" fillId="0" borderId="6" xfId="0" applyFont="1" applyBorder="1" applyAlignment="1">
      <alignment horizontal="center"/>
    </xf>
    <xf numFmtId="0" fontId="15" fillId="0" borderId="0" xfId="0" applyFont="1" applyAlignment="1">
      <alignment horizontal="center" vertical="center"/>
    </xf>
    <xf numFmtId="0" fontId="16" fillId="0" borderId="6" xfId="0" applyFont="1" applyBorder="1" applyAlignment="1">
      <alignment horizontal="center" vertical="center" wrapText="1"/>
    </xf>
    <xf numFmtId="0" fontId="14" fillId="0" borderId="0" xfId="0" applyFont="1"/>
    <xf numFmtId="0" fontId="14" fillId="0" borderId="0" xfId="0" applyFont="1" applyAlignment="1">
      <alignment horizontal="center" vertical="center" wrapText="1"/>
    </xf>
    <xf numFmtId="0" fontId="14" fillId="0" borderId="0" xfId="0" applyFont="1" applyAlignment="1">
      <alignment horizontal="center"/>
    </xf>
    <xf numFmtId="0" fontId="16" fillId="0" borderId="0" xfId="0" applyFont="1" applyAlignment="1">
      <alignment horizontal="center" vertical="center" wrapText="1"/>
    </xf>
    <xf numFmtId="0" fontId="3" fillId="0" borderId="0" xfId="0" applyFont="1" applyAlignment="1">
      <alignment horizontal="center"/>
    </xf>
    <xf numFmtId="0" fontId="3" fillId="0" borderId="0" xfId="0" applyFont="1" applyAlignment="1">
      <alignment horizontal="center" vertical="center"/>
    </xf>
    <xf numFmtId="0" fontId="5" fillId="0" borderId="2" xfId="0" applyFont="1" applyBorder="1"/>
    <xf numFmtId="0" fontId="17" fillId="0" borderId="0" xfId="0" applyFont="1"/>
    <xf numFmtId="0" fontId="18" fillId="0" borderId="2" xfId="0" applyFont="1" applyBorder="1" applyAlignment="1">
      <alignment horizontal="center" vertical="center" wrapText="1"/>
    </xf>
    <xf numFmtId="1" fontId="18" fillId="0" borderId="2" xfId="0" applyNumberFormat="1" applyFont="1" applyBorder="1" applyAlignment="1">
      <alignment horizontal="center" vertical="center" wrapText="1"/>
    </xf>
    <xf numFmtId="0" fontId="13" fillId="0" borderId="2" xfId="0" applyFont="1" applyBorder="1"/>
    <xf numFmtId="0" fontId="13" fillId="0" borderId="2" xfId="0" applyFont="1" applyBorder="1" applyAlignment="1">
      <alignment wrapText="1"/>
    </xf>
    <xf numFmtId="0" fontId="1" fillId="2" borderId="0" xfId="0" applyFont="1" applyFill="1"/>
    <xf numFmtId="0" fontId="2" fillId="2" borderId="0" xfId="0" applyFont="1" applyFill="1" applyAlignment="1">
      <alignment horizontal="center" vertical="center" wrapText="1"/>
    </xf>
    <xf numFmtId="0" fontId="13" fillId="0" borderId="0" xfId="0" applyFont="1"/>
    <xf numFmtId="17" fontId="19" fillId="0" borderId="3" xfId="0" applyNumberFormat="1" applyFont="1" applyBorder="1" applyAlignment="1">
      <alignment horizontal="center"/>
    </xf>
    <xf numFmtId="177" fontId="12" fillId="4" borderId="2" xfId="0" applyNumberFormat="1" applyFont="1" applyFill="1" applyBorder="1" applyAlignment="1">
      <alignment horizontal="center" vertical="center" wrapText="1"/>
    </xf>
    <xf numFmtId="0" fontId="20" fillId="2" borderId="2" xfId="0" applyFont="1" applyFill="1" applyBorder="1" applyAlignment="1">
      <alignment horizontal="left" vertical="center" wrapText="1"/>
    </xf>
    <xf numFmtId="0" fontId="20" fillId="2" borderId="2" xfId="0" applyFont="1" applyFill="1" applyBorder="1" applyAlignment="1">
      <alignment horizontal="left" vertical="top" wrapText="1"/>
    </xf>
    <xf numFmtId="9" fontId="0" fillId="2" borderId="2" xfId="3" applyFont="1" applyFill="1" applyBorder="1" applyAlignment="1">
      <alignment horizontal="center" vertical="center"/>
    </xf>
    <xf numFmtId="9" fontId="21" fillId="2" borderId="2" xfId="0" applyNumberFormat="1" applyFont="1" applyFill="1" applyBorder="1" applyAlignment="1">
      <alignment horizontal="center" vertical="center" wrapText="1"/>
    </xf>
    <xf numFmtId="178" fontId="21" fillId="2" borderId="2" xfId="1" applyNumberFormat="1" applyFont="1" applyFill="1" applyBorder="1" applyAlignment="1">
      <alignment horizontal="center" vertical="center" wrapText="1"/>
    </xf>
    <xf numFmtId="178" fontId="21" fillId="2" borderId="2" xfId="0" applyNumberFormat="1" applyFont="1" applyFill="1" applyBorder="1" applyAlignment="1">
      <alignment horizontal="center" vertical="center" wrapText="1"/>
    </xf>
    <xf numFmtId="178" fontId="22" fillId="2" borderId="2" xfId="1" applyNumberFormat="1" applyFont="1" applyFill="1" applyBorder="1" applyAlignment="1">
      <alignment horizontal="center" vertical="center" wrapText="1"/>
    </xf>
    <xf numFmtId="178" fontId="0" fillId="2" borderId="2" xfId="1" applyNumberFormat="1" applyFont="1" applyFill="1" applyBorder="1" applyAlignment="1">
      <alignment horizontal="center" vertical="center"/>
    </xf>
    <xf numFmtId="178" fontId="1" fillId="2" borderId="2" xfId="1" applyNumberFormat="1" applyFont="1" applyFill="1" applyBorder="1" applyAlignment="1">
      <alignment horizontal="center" vertical="center" wrapText="1"/>
    </xf>
    <xf numFmtId="0" fontId="17" fillId="2" borderId="2" xfId="0" applyFont="1" applyFill="1" applyBorder="1" applyAlignment="1">
      <alignment horizontal="left" vertical="center" wrapText="1"/>
    </xf>
    <xf numFmtId="0" fontId="23" fillId="2" borderId="2" xfId="0" applyFont="1" applyFill="1" applyBorder="1" applyAlignment="1">
      <alignment horizontal="left" vertical="center" wrapText="1"/>
    </xf>
    <xf numFmtId="9" fontId="0" fillId="0" borderId="2" xfId="3" applyFont="1" applyBorder="1" applyAlignment="1">
      <alignment horizontal="center" vertical="center"/>
    </xf>
    <xf numFmtId="178" fontId="0" fillId="0" borderId="2" xfId="1" applyNumberFormat="1" applyFont="1" applyBorder="1" applyAlignment="1">
      <alignment horizontal="center" vertical="center"/>
    </xf>
    <xf numFmtId="178" fontId="22" fillId="0" borderId="2" xfId="1" applyNumberFormat="1" applyFont="1" applyFill="1" applyBorder="1" applyAlignment="1">
      <alignment horizontal="center" vertical="center" wrapText="1"/>
    </xf>
    <xf numFmtId="9" fontId="0" fillId="0" borderId="2" xfId="3" applyNumberFormat="1" applyFont="1" applyBorder="1" applyAlignment="1">
      <alignment horizontal="center" vertical="center"/>
    </xf>
    <xf numFmtId="0" fontId="17" fillId="2" borderId="2" xfId="0" applyFont="1" applyFill="1" applyBorder="1" applyAlignment="1">
      <alignment wrapText="1"/>
    </xf>
    <xf numFmtId="0" fontId="17" fillId="2" borderId="2" xfId="0" applyFont="1" applyFill="1" applyBorder="1" applyAlignment="1">
      <alignment vertical="center"/>
    </xf>
    <xf numFmtId="0" fontId="17" fillId="2" borderId="2" xfId="0" applyFont="1" applyFill="1" applyBorder="1" applyAlignment="1">
      <alignment vertical="center" wrapText="1"/>
    </xf>
    <xf numFmtId="179" fontId="24" fillId="2" borderId="2" xfId="1" applyNumberFormat="1" applyFont="1" applyFill="1" applyBorder="1" applyAlignment="1">
      <alignment vertical="center"/>
    </xf>
    <xf numFmtId="0" fontId="0" fillId="0" borderId="4" xfId="0" applyBorder="1" applyAlignment="1">
      <alignment horizontal="center" wrapText="1"/>
    </xf>
    <xf numFmtId="0" fontId="0" fillId="0" borderId="5" xfId="0" applyBorder="1" applyAlignment="1">
      <alignment horizontal="center" wrapText="1"/>
    </xf>
    <xf numFmtId="0" fontId="5" fillId="0" borderId="6" xfId="0" applyFont="1" applyBorder="1" applyAlignment="1">
      <alignment horizontal="center"/>
    </xf>
    <xf numFmtId="0" fontId="25" fillId="0" borderId="0" xfId="0" applyFont="1" applyAlignment="1">
      <alignment horizontal="center" vertical="center"/>
    </xf>
    <xf numFmtId="0" fontId="26" fillId="0" borderId="6" xfId="0" applyFont="1" applyBorder="1" applyAlignment="1">
      <alignment horizontal="center" vertical="center" wrapText="1"/>
    </xf>
    <xf numFmtId="0" fontId="17" fillId="0" borderId="2" xfId="0" applyFont="1" applyBorder="1"/>
    <xf numFmtId="0" fontId="2" fillId="0" borderId="0" xfId="0" applyFont="1" applyAlignment="1">
      <alignment horizontal="center" vertical="center" wrapText="1"/>
    </xf>
    <xf numFmtId="0" fontId="4" fillId="0" borderId="0" xfId="0" applyFont="1" applyAlignment="1">
      <alignment vertical="center"/>
    </xf>
    <xf numFmtId="0" fontId="27" fillId="0" borderId="0" xfId="0" applyFont="1"/>
    <xf numFmtId="0" fontId="13" fillId="0" borderId="0" xfId="0" applyFont="1" applyAlignment="1">
      <alignment horizontal="center"/>
    </xf>
    <xf numFmtId="0" fontId="13" fillId="0" borderId="0" xfId="0" applyFont="1" applyAlignment="1">
      <alignment horizontal="center" vertical="center"/>
    </xf>
    <xf numFmtId="0" fontId="8" fillId="0" borderId="2" xfId="0" applyFont="1" applyBorder="1" applyAlignment="1">
      <alignment horizontal="center"/>
    </xf>
    <xf numFmtId="0" fontId="8" fillId="0" borderId="2" xfId="0" applyFont="1" applyBorder="1" applyAlignment="1">
      <alignment horizontal="center" vertical="center" wrapText="1"/>
    </xf>
    <xf numFmtId="0" fontId="5" fillId="0" borderId="2" xfId="0" applyFont="1" applyBorder="1" applyAlignment="1">
      <alignment vertical="center"/>
    </xf>
    <xf numFmtId="0" fontId="10" fillId="5" borderId="0" xfId="0" applyFont="1" applyFill="1" applyAlignment="1">
      <alignment horizontal="center" vertical="center" wrapText="1"/>
    </xf>
    <xf numFmtId="0" fontId="5" fillId="0" borderId="0" xfId="0" applyFont="1" applyAlignment="1">
      <alignment horizontal="center"/>
    </xf>
    <xf numFmtId="0" fontId="13" fillId="2" borderId="0" xfId="0" applyFont="1" applyFill="1" applyAlignment="1">
      <alignment horizontal="center" vertical="center" wrapText="1"/>
    </xf>
    <xf numFmtId="0" fontId="20" fillId="2" borderId="7" xfId="0" applyFont="1" applyFill="1" applyBorder="1" applyAlignment="1">
      <alignment vertical="center" wrapText="1"/>
    </xf>
    <xf numFmtId="0" fontId="20" fillId="0" borderId="2" xfId="0" applyFont="1" applyFill="1" applyBorder="1" applyAlignment="1">
      <alignment horizontal="left" vertical="center" wrapText="1"/>
    </xf>
    <xf numFmtId="9" fontId="20" fillId="2" borderId="2" xfId="0" applyNumberFormat="1" applyFont="1" applyFill="1" applyBorder="1" applyAlignment="1">
      <alignment horizontal="center" vertical="center" wrapText="1"/>
    </xf>
    <xf numFmtId="0" fontId="20" fillId="2" borderId="2" xfId="3" applyNumberFormat="1" applyFont="1" applyFill="1" applyBorder="1" applyAlignment="1">
      <alignment horizontal="center" vertical="center" wrapText="1"/>
    </xf>
    <xf numFmtId="0" fontId="20" fillId="2" borderId="8" xfId="0" applyFont="1" applyFill="1" applyBorder="1" applyAlignment="1">
      <alignment vertical="center" wrapText="1"/>
    </xf>
    <xf numFmtId="0" fontId="13" fillId="0" borderId="0" xfId="0" applyFont="1" applyAlignment="1">
      <alignment horizontal="center" vertical="center" wrapText="1"/>
    </xf>
    <xf numFmtId="9" fontId="20" fillId="0" borderId="2" xfId="0" applyNumberFormat="1" applyFont="1" applyBorder="1" applyAlignment="1">
      <alignment horizontal="center" vertical="center" wrapText="1"/>
    </xf>
    <xf numFmtId="9" fontId="20" fillId="2" borderId="2" xfId="0" applyNumberFormat="1" applyFont="1" applyFill="1" applyBorder="1" applyAlignment="1" applyProtection="1">
      <alignment horizontal="center" vertical="center" wrapText="1"/>
    </xf>
    <xf numFmtId="0" fontId="20" fillId="0" borderId="2" xfId="3" applyNumberFormat="1" applyFont="1" applyFill="1" applyBorder="1" applyAlignment="1">
      <alignment horizontal="center" vertical="center" wrapText="1"/>
    </xf>
    <xf numFmtId="0" fontId="28" fillId="2" borderId="0" xfId="0" applyFont="1" applyFill="1"/>
    <xf numFmtId="0" fontId="20" fillId="0" borderId="7" xfId="0" applyFont="1" applyBorder="1" applyAlignment="1">
      <alignment vertical="center" wrapText="1"/>
    </xf>
    <xf numFmtId="0" fontId="20" fillId="0" borderId="2" xfId="0" applyFont="1" applyBorder="1" applyAlignment="1">
      <alignment horizontal="left" vertical="center" wrapText="1"/>
    </xf>
    <xf numFmtId="0" fontId="29" fillId="2" borderId="4" xfId="0" applyFont="1" applyFill="1" applyBorder="1" applyAlignment="1">
      <alignment horizontal="center" vertical="center" wrapText="1"/>
    </xf>
    <xf numFmtId="0" fontId="29" fillId="2" borderId="9" xfId="0" applyFont="1" applyFill="1" applyBorder="1" applyAlignment="1">
      <alignment horizontal="center" vertical="center" wrapText="1"/>
    </xf>
    <xf numFmtId="0" fontId="29" fillId="2" borderId="5" xfId="0" applyFont="1" applyFill="1" applyBorder="1" applyAlignment="1">
      <alignment horizontal="center" vertical="center" wrapText="1"/>
    </xf>
    <xf numFmtId="0" fontId="13" fillId="2" borderId="2" xfId="0" applyFont="1" applyFill="1" applyBorder="1" applyAlignment="1">
      <alignment horizontal="center" vertical="center" wrapText="1"/>
    </xf>
    <xf numFmtId="179" fontId="20" fillId="0" borderId="2" xfId="1" applyNumberFormat="1" applyFont="1" applyBorder="1"/>
    <xf numFmtId="0" fontId="20" fillId="2" borderId="2" xfId="0" applyFont="1" applyFill="1" applyBorder="1" applyAlignment="1">
      <alignment horizontal="center" vertical="center" wrapText="1"/>
    </xf>
    <xf numFmtId="0" fontId="5" fillId="0" borderId="0" xfId="0" applyFont="1" applyAlignment="1">
      <alignment horizontal="left"/>
    </xf>
    <xf numFmtId="178" fontId="13" fillId="0" borderId="0" xfId="0" applyNumberFormat="1" applyFont="1" applyAlignment="1">
      <alignment horizontal="center"/>
    </xf>
    <xf numFmtId="178" fontId="30" fillId="0" borderId="0" xfId="0" applyNumberFormat="1" applyFont="1" applyAlignment="1">
      <alignment horizontal="center" vertical="center"/>
    </xf>
    <xf numFmtId="0" fontId="5" fillId="0" borderId="0" xfId="0" applyFont="1"/>
    <xf numFmtId="0" fontId="5" fillId="0" borderId="0" xfId="0" applyFont="1" applyAlignment="1">
      <alignment horizontal="center" vertical="center"/>
    </xf>
    <xf numFmtId="9" fontId="31" fillId="0" borderId="0" xfId="3" applyFont="1" applyFill="1" applyBorder="1" applyAlignment="1">
      <alignment horizontal="center" vertical="center" wrapText="1"/>
    </xf>
    <xf numFmtId="0" fontId="14" fillId="0" borderId="6" xfId="0" applyFont="1" applyBorder="1" applyAlignment="1">
      <alignment horizontal="center" vertical="center" wrapText="1"/>
    </xf>
    <xf numFmtId="0" fontId="32" fillId="0" borderId="0" xfId="0" applyFont="1"/>
    <xf numFmtId="0" fontId="32" fillId="0" borderId="0" xfId="0" applyFont="1" applyAlignment="1">
      <alignment horizontal="center"/>
    </xf>
    <xf numFmtId="0" fontId="32" fillId="0" borderId="0" xfId="0" applyFont="1" applyAlignment="1">
      <alignment horizontal="center" vertical="center"/>
    </xf>
    <xf numFmtId="0" fontId="15" fillId="0" borderId="0" xfId="0" applyFont="1"/>
    <xf numFmtId="177" fontId="14" fillId="0" borderId="0" xfId="0" applyNumberFormat="1" applyFont="1" applyAlignment="1">
      <alignment horizontal="left" vertical="center" wrapText="1"/>
    </xf>
    <xf numFmtId="0" fontId="33" fillId="0" borderId="0" xfId="0" applyFont="1" applyAlignment="1">
      <alignment horizontal="left"/>
    </xf>
    <xf numFmtId="49" fontId="20" fillId="0" borderId="2" xfId="1" applyNumberFormat="1" applyFont="1" applyFill="1" applyBorder="1" applyAlignment="1">
      <alignment horizontal="left" vertical="top" wrapText="1"/>
    </xf>
    <xf numFmtId="49" fontId="20" fillId="2" borderId="2" xfId="1" applyNumberFormat="1" applyFont="1" applyFill="1" applyBorder="1" applyAlignment="1">
      <alignment horizontal="left" vertical="top" wrapText="1"/>
    </xf>
    <xf numFmtId="49" fontId="20" fillId="2" borderId="2" xfId="1" applyNumberFormat="1" applyFont="1" applyFill="1" applyBorder="1" applyAlignment="1">
      <alignment vertical="top" wrapText="1"/>
    </xf>
    <xf numFmtId="0" fontId="5" fillId="0" borderId="6" xfId="0" applyFont="1" applyBorder="1" applyAlignment="1">
      <alignment horizontal="center" vertical="center" wrapText="1"/>
    </xf>
    <xf numFmtId="0" fontId="20" fillId="0" borderId="7" xfId="0" applyFont="1" applyFill="1" applyBorder="1" applyAlignment="1">
      <alignment vertical="center" wrapText="1"/>
    </xf>
    <xf numFmtId="49" fontId="20" fillId="0" borderId="2" xfId="1" applyNumberFormat="1" applyFont="1" applyFill="1" applyBorder="1" applyAlignment="1">
      <alignment vertical="top" wrapText="1"/>
    </xf>
    <xf numFmtId="17" fontId="8" fillId="0" borderId="2" xfId="0" applyNumberFormat="1" applyFont="1" applyBorder="1" applyAlignment="1">
      <alignment horizontal="center"/>
    </xf>
    <xf numFmtId="9" fontId="20" fillId="0" borderId="2" xfId="0" applyNumberFormat="1" applyFont="1" applyFill="1" applyBorder="1" applyAlignment="1" applyProtection="1">
      <alignment horizontal="center" vertical="center" wrapText="1"/>
    </xf>
    <xf numFmtId="9" fontId="20" fillId="0" borderId="2" xfId="0" applyNumberFormat="1"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eetMetadata" Target="metadata.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0</xdr:row>
      <xdr:rowOff>9525</xdr:rowOff>
    </xdr:from>
    <xdr:to>
      <xdr:col>0</xdr:col>
      <xdr:colOff>827405</xdr:colOff>
      <xdr:row>1</xdr:row>
      <xdr:rowOff>208915</xdr:rowOff>
    </xdr:to>
    <xdr:pic>
      <xdr:nvPicPr>
        <xdr:cNvPr id="3"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9525" y="9525"/>
          <a:ext cx="817880" cy="485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0</xdr:row>
      <xdr:rowOff>9525</xdr:rowOff>
    </xdr:from>
    <xdr:to>
      <xdr:col>0</xdr:col>
      <xdr:colOff>666115</xdr:colOff>
      <xdr:row>1</xdr:row>
      <xdr:rowOff>132715</xdr:rowOff>
    </xdr:to>
    <xdr:pic>
      <xdr:nvPicPr>
        <xdr:cNvPr id="3"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9525" y="9525"/>
          <a:ext cx="656590" cy="408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116416</xdr:colOff>
      <xdr:row>0</xdr:row>
      <xdr:rowOff>105834</xdr:rowOff>
    </xdr:from>
    <xdr:to>
      <xdr:col>1</xdr:col>
      <xdr:colOff>571076</xdr:colOff>
      <xdr:row>1</xdr:row>
      <xdr:rowOff>209974</xdr:rowOff>
    </xdr:to>
    <xdr:pic>
      <xdr:nvPicPr>
        <xdr:cNvPr id="2" name="Picture 1" descr="LogoGL"/>
        <xdr:cNvPicPr>
          <a:picLocks noChangeAspect="1"/>
        </xdr:cNvPicPr>
      </xdr:nvPicPr>
      <xdr:blipFill>
        <a:blip r:embed="rId1"/>
        <a:srcRect/>
        <a:stretch>
          <a:fillRect/>
        </a:stretch>
      </xdr:blipFill>
      <xdr:spPr>
        <a:xfrm>
          <a:off x="370205" y="105410"/>
          <a:ext cx="454660" cy="266065"/>
        </a:xfrm>
        <a:prstGeom prst="rect">
          <a:avLst/>
        </a:prstGeom>
        <a:noFill/>
        <a:ln w="9525">
          <a:noFill/>
          <a:miter lim="800000"/>
          <a:headEnd/>
          <a:tailEnd/>
        </a:ln>
      </xdr:spPr>
    </xdr:pic>
    <xdr:clientData/>
  </xdr:twoCellAnchor>
  <xdr:twoCellAnchor editAs="oneCell">
    <xdr:from>
      <xdr:col>1</xdr:col>
      <xdr:colOff>0</xdr:colOff>
      <xdr:row>0</xdr:row>
      <xdr:rowOff>9525</xdr:rowOff>
    </xdr:from>
    <xdr:to>
      <xdr:col>1</xdr:col>
      <xdr:colOff>504825</xdr:colOff>
      <xdr:row>1</xdr:row>
      <xdr:rowOff>219075</xdr:rowOff>
    </xdr:to>
    <xdr:pic>
      <xdr:nvPicPr>
        <xdr:cNvPr id="3" name="Picture 2" descr="LogoGL"/>
        <xdr:cNvPicPr>
          <a:picLocks noChangeAspect="1"/>
        </xdr:cNvPicPr>
      </xdr:nvPicPr>
      <xdr:blipFill>
        <a:blip r:embed="rId1"/>
        <a:srcRect/>
        <a:stretch>
          <a:fillRect/>
        </a:stretch>
      </xdr:blipFill>
      <xdr:spPr>
        <a:xfrm>
          <a:off x="254000" y="9525"/>
          <a:ext cx="504825" cy="37147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116416</xdr:colOff>
      <xdr:row>0</xdr:row>
      <xdr:rowOff>105834</xdr:rowOff>
    </xdr:from>
    <xdr:to>
      <xdr:col>1</xdr:col>
      <xdr:colOff>571076</xdr:colOff>
      <xdr:row>1</xdr:row>
      <xdr:rowOff>209974</xdr:rowOff>
    </xdr:to>
    <xdr:pic>
      <xdr:nvPicPr>
        <xdr:cNvPr id="2" name="Picture 1" descr="LogoGL"/>
        <xdr:cNvPicPr>
          <a:picLocks noChangeAspect="1"/>
        </xdr:cNvPicPr>
      </xdr:nvPicPr>
      <xdr:blipFill>
        <a:blip r:embed="rId1"/>
        <a:srcRect/>
        <a:stretch>
          <a:fillRect/>
        </a:stretch>
      </xdr:blipFill>
      <xdr:spPr>
        <a:xfrm>
          <a:off x="370205" y="105410"/>
          <a:ext cx="454660" cy="266065"/>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116416</xdr:colOff>
      <xdr:row>0</xdr:row>
      <xdr:rowOff>105834</xdr:rowOff>
    </xdr:from>
    <xdr:to>
      <xdr:col>1</xdr:col>
      <xdr:colOff>571076</xdr:colOff>
      <xdr:row>1</xdr:row>
      <xdr:rowOff>209974</xdr:rowOff>
    </xdr:to>
    <xdr:pic>
      <xdr:nvPicPr>
        <xdr:cNvPr id="2" name="Picture 1" descr="LogoGL"/>
        <xdr:cNvPicPr>
          <a:picLocks noChangeAspect="1"/>
        </xdr:cNvPicPr>
      </xdr:nvPicPr>
      <xdr:blipFill>
        <a:blip r:embed="rId1"/>
        <a:srcRect/>
        <a:stretch>
          <a:fillRect/>
        </a:stretch>
      </xdr:blipFill>
      <xdr:spPr>
        <a:xfrm>
          <a:off x="370205" y="105410"/>
          <a:ext cx="454660" cy="266065"/>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0</xdr:row>
      <xdr:rowOff>9525</xdr:rowOff>
    </xdr:from>
    <xdr:to>
      <xdr:col>1</xdr:col>
      <xdr:colOff>922020</xdr:colOff>
      <xdr:row>2</xdr:row>
      <xdr:rowOff>0</xdr:rowOff>
    </xdr:to>
    <xdr:pic>
      <xdr:nvPicPr>
        <xdr:cNvPr id="3"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254000" y="9525"/>
          <a:ext cx="92202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116416</xdr:colOff>
      <xdr:row>0</xdr:row>
      <xdr:rowOff>105834</xdr:rowOff>
    </xdr:from>
    <xdr:to>
      <xdr:col>1</xdr:col>
      <xdr:colOff>571076</xdr:colOff>
      <xdr:row>1</xdr:row>
      <xdr:rowOff>209974</xdr:rowOff>
    </xdr:to>
    <xdr:pic>
      <xdr:nvPicPr>
        <xdr:cNvPr id="2" name="Picture 1" descr="LogoGL"/>
        <xdr:cNvPicPr>
          <a:picLocks noChangeAspect="1"/>
        </xdr:cNvPicPr>
      </xdr:nvPicPr>
      <xdr:blipFill>
        <a:blip r:embed="rId1"/>
        <a:srcRect/>
        <a:stretch>
          <a:fillRect/>
        </a:stretch>
      </xdr:blipFill>
      <xdr:spPr>
        <a:xfrm>
          <a:off x="370205" y="105410"/>
          <a:ext cx="454660" cy="26606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561340</xdr:colOff>
      <xdr:row>1</xdr:row>
      <xdr:rowOff>132715</xdr:rowOff>
    </xdr:to>
    <xdr:pic>
      <xdr:nvPicPr>
        <xdr:cNvPr id="3" name="Picture 2" descr="LogoGL"/>
        <xdr:cNvPicPr>
          <a:picLocks noChangeAspect="1"/>
        </xdr:cNvPicPr>
      </xdr:nvPicPr>
      <xdr:blipFill>
        <a:blip r:embed="rId1"/>
        <a:srcRect/>
        <a:stretch>
          <a:fillRect/>
        </a:stretch>
      </xdr:blipFill>
      <xdr:spPr>
        <a:xfrm>
          <a:off x="9525" y="9525"/>
          <a:ext cx="551815" cy="40894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552450</xdr:colOff>
      <xdr:row>1</xdr:row>
      <xdr:rowOff>133985</xdr:rowOff>
    </xdr:to>
    <xdr:pic>
      <xdr:nvPicPr>
        <xdr:cNvPr id="3" name="Picture 2" descr="LogoGL"/>
        <xdr:cNvPicPr>
          <a:picLocks noChangeAspect="1"/>
        </xdr:cNvPicPr>
      </xdr:nvPicPr>
      <xdr:blipFill>
        <a:blip r:embed="rId1"/>
        <a:srcRect/>
        <a:stretch>
          <a:fillRect/>
        </a:stretch>
      </xdr:blipFill>
      <xdr:spPr>
        <a:xfrm>
          <a:off x="9525" y="9525"/>
          <a:ext cx="542925" cy="41021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57150</xdr:rowOff>
    </xdr:from>
    <xdr:to>
      <xdr:col>0</xdr:col>
      <xdr:colOff>410210</xdr:colOff>
      <xdr:row>1</xdr:row>
      <xdr:rowOff>76200</xdr:rowOff>
    </xdr:to>
    <xdr:pic>
      <xdr:nvPicPr>
        <xdr:cNvPr id="2" name="Picture 1" descr="LogoGL"/>
        <xdr:cNvPicPr>
          <a:picLocks noChangeAspect="1"/>
        </xdr:cNvPicPr>
      </xdr:nvPicPr>
      <xdr:blipFill>
        <a:blip r:embed="rId1"/>
        <a:srcRect/>
        <a:stretch>
          <a:fillRect/>
        </a:stretch>
      </xdr:blipFill>
      <xdr:spPr>
        <a:xfrm>
          <a:off x="9525" y="57150"/>
          <a:ext cx="400685" cy="3048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pageSetUpPr fitToPage="1"/>
  </sheetPr>
  <dimension ref="A1:BF41"/>
  <sheetViews>
    <sheetView tabSelected="1" zoomScale="80" zoomScaleNormal="80" zoomScaleSheetLayoutView="80" topLeftCell="A9" workbookViewId="0">
      <selection activeCell="B11" sqref="B11"/>
    </sheetView>
  </sheetViews>
  <sheetFormatPr defaultColWidth="9.14166666666667" defaultRowHeight="12.75"/>
  <cols>
    <col min="1" max="1" width="45.9416666666667" style="1" customWidth="1"/>
    <col min="2" max="2" width="58.75" style="1" customWidth="1"/>
    <col min="3" max="3" width="21.4083333333333" style="4" customWidth="1"/>
    <col min="4" max="4" width="20.775" style="4" customWidth="1"/>
    <col min="5" max="5" width="23.9" style="4" customWidth="1"/>
    <col min="6" max="6" width="22.8166666666667" style="5" customWidth="1"/>
    <col min="7" max="7" width="29.375" style="5" customWidth="1"/>
    <col min="8" max="8" width="58.9" style="1" customWidth="1"/>
    <col min="9" max="9" width="11.7083333333333" style="1" customWidth="1"/>
    <col min="10" max="16384" width="9.14166666666667" style="1"/>
  </cols>
  <sheetData>
    <row r="1" ht="22.5" customHeight="1" spans="1:8">
      <c r="A1" s="6" t="s">
        <v>0</v>
      </c>
      <c r="B1" s="6"/>
      <c r="C1" s="6"/>
      <c r="D1" s="6"/>
      <c r="E1" s="6"/>
      <c r="F1" s="6"/>
      <c r="G1" s="6"/>
      <c r="H1" s="6"/>
    </row>
    <row r="2" ht="19" customHeight="1" spans="1:8">
      <c r="A2" s="6"/>
      <c r="B2" s="6"/>
      <c r="C2" s="6"/>
      <c r="D2" s="6"/>
      <c r="E2" s="6"/>
      <c r="F2" s="6"/>
      <c r="G2" s="6"/>
      <c r="H2" s="6"/>
    </row>
    <row r="3" ht="13.5" customHeight="1" spans="1:8">
      <c r="A3" s="7" t="s">
        <v>1</v>
      </c>
      <c r="B3" s="11" t="s">
        <v>2</v>
      </c>
      <c r="C3" s="9"/>
      <c r="D3" s="9"/>
      <c r="E3" s="9"/>
      <c r="F3" s="9"/>
      <c r="G3" s="9"/>
      <c r="H3" s="9"/>
    </row>
    <row r="4" ht="15" spans="1:7">
      <c r="A4" s="7" t="s">
        <v>3</v>
      </c>
      <c r="B4" s="11" t="s">
        <v>4</v>
      </c>
      <c r="F4" s="10"/>
      <c r="G4" s="10"/>
    </row>
    <row r="5" ht="15" spans="1:7">
      <c r="A5" s="7" t="s">
        <v>5</v>
      </c>
      <c r="B5" s="11" t="s">
        <v>6</v>
      </c>
      <c r="F5" s="10"/>
      <c r="G5" s="10"/>
    </row>
    <row r="6" ht="15" spans="1:7">
      <c r="A6" s="7" t="s">
        <v>7</v>
      </c>
      <c r="B6" s="11" t="s">
        <v>8</v>
      </c>
      <c r="F6" s="10"/>
      <c r="G6" s="10"/>
    </row>
    <row r="7" ht="15" customHeight="1" spans="1:7">
      <c r="A7" s="7" t="s">
        <v>9</v>
      </c>
      <c r="B7" s="55" t="s">
        <v>10</v>
      </c>
      <c r="F7" s="10"/>
      <c r="G7" s="10"/>
    </row>
    <row r="8" s="2" customFormat="1" ht="18" customHeight="1" spans="1:58">
      <c r="A8" s="1"/>
      <c r="B8" s="1"/>
      <c r="C8" s="4"/>
      <c r="D8" s="4"/>
      <c r="E8" s="4"/>
      <c r="F8" s="10"/>
      <c r="G8" s="10"/>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row>
    <row r="9" s="2" customFormat="1" ht="33.75" customHeight="1" spans="1:58">
      <c r="A9" s="13"/>
      <c r="B9" s="13"/>
      <c r="C9" s="13"/>
      <c r="D9" s="13"/>
      <c r="E9" s="13"/>
      <c r="F9" s="13"/>
      <c r="G9" s="13"/>
      <c r="H9" s="13"/>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row>
    <row r="10" s="2" customFormat="1" ht="83" customHeight="1" spans="1:58">
      <c r="A10" s="16" t="s">
        <v>11</v>
      </c>
      <c r="B10" s="16" t="s">
        <v>12</v>
      </c>
      <c r="C10" s="16" t="s">
        <v>13</v>
      </c>
      <c r="D10" s="16" t="s">
        <v>14</v>
      </c>
      <c r="E10" s="16" t="s">
        <v>15</v>
      </c>
      <c r="F10" s="56" t="s">
        <v>16</v>
      </c>
      <c r="G10" s="56" t="s">
        <v>17</v>
      </c>
      <c r="H10" s="16" t="s">
        <v>18</v>
      </c>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row>
    <row r="11" s="2" customFormat="1" ht="75" customHeight="1" spans="1:58">
      <c r="A11" s="57" t="s">
        <v>19</v>
      </c>
      <c r="B11" s="58" t="s">
        <v>20</v>
      </c>
      <c r="C11" s="59">
        <v>1</v>
      </c>
      <c r="D11" s="60"/>
      <c r="E11" s="61">
        <v>20</v>
      </c>
      <c r="F11" s="62"/>
      <c r="G11" s="63">
        <f t="shared" ref="G11:G15" si="0">(E11*F11)/5</f>
        <v>0</v>
      </c>
      <c r="H11" s="17" t="s">
        <v>21</v>
      </c>
      <c r="I11" s="52"/>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row>
    <row r="12" s="2" customFormat="1" ht="89" customHeight="1" spans="1:58">
      <c r="A12" s="57" t="s">
        <v>22</v>
      </c>
      <c r="B12" s="57" t="s">
        <v>23</v>
      </c>
      <c r="C12" s="59">
        <v>1</v>
      </c>
      <c r="D12" s="59"/>
      <c r="E12" s="64">
        <v>15</v>
      </c>
      <c r="F12" s="65"/>
      <c r="G12" s="63">
        <f t="shared" si="0"/>
        <v>0</v>
      </c>
      <c r="H12" s="66" t="s">
        <v>24</v>
      </c>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row>
    <row r="13" s="53" customFormat="1" ht="78" customHeight="1" spans="1:58">
      <c r="A13" s="57" t="s">
        <v>25</v>
      </c>
      <c r="B13" s="57" t="s">
        <v>26</v>
      </c>
      <c r="C13" s="59">
        <v>1</v>
      </c>
      <c r="D13" s="60"/>
      <c r="E13" s="61">
        <v>10</v>
      </c>
      <c r="F13" s="62"/>
      <c r="G13" s="63">
        <f t="shared" si="0"/>
        <v>0</v>
      </c>
      <c r="H13" s="67" t="s">
        <v>27</v>
      </c>
      <c r="I13" s="52"/>
      <c r="J13" s="52"/>
      <c r="K13" s="52"/>
      <c r="L13" s="52"/>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row>
    <row r="14" ht="80" customHeight="1" spans="1:8">
      <c r="A14" s="57" t="s">
        <v>28</v>
      </c>
      <c r="B14" s="66" t="s">
        <v>29</v>
      </c>
      <c r="C14" s="68">
        <v>1</v>
      </c>
      <c r="D14" s="68"/>
      <c r="E14" s="69">
        <v>15</v>
      </c>
      <c r="F14" s="70"/>
      <c r="G14" s="63">
        <f t="shared" si="0"/>
        <v>0</v>
      </c>
      <c r="H14" s="17" t="s">
        <v>30</v>
      </c>
    </row>
    <row r="15" ht="74" customHeight="1" spans="1:8">
      <c r="A15" s="57" t="s">
        <v>31</v>
      </c>
      <c r="B15" s="66" t="s">
        <v>32</v>
      </c>
      <c r="C15" s="71">
        <v>1</v>
      </c>
      <c r="D15" s="68"/>
      <c r="E15" s="69">
        <v>10</v>
      </c>
      <c r="F15" s="70"/>
      <c r="G15" s="63">
        <f t="shared" si="0"/>
        <v>0</v>
      </c>
      <c r="H15" s="17" t="s">
        <v>33</v>
      </c>
    </row>
    <row r="16" ht="71" customHeight="1" spans="1:8">
      <c r="A16" s="72" t="s">
        <v>34</v>
      </c>
      <c r="B16" s="66" t="s">
        <v>35</v>
      </c>
      <c r="C16" s="68">
        <v>1</v>
      </c>
      <c r="D16" s="68"/>
      <c r="E16" s="69">
        <v>10</v>
      </c>
      <c r="F16" s="70"/>
      <c r="G16" s="63"/>
      <c r="H16" s="17" t="s">
        <v>36</v>
      </c>
    </row>
    <row r="17" ht="74" customHeight="1" spans="1:8">
      <c r="A17" s="72" t="s">
        <v>37</v>
      </c>
      <c r="B17" s="72" t="s">
        <v>38</v>
      </c>
      <c r="C17" s="68">
        <v>1</v>
      </c>
      <c r="D17" s="68"/>
      <c r="E17" s="69">
        <v>10</v>
      </c>
      <c r="F17" s="70"/>
      <c r="G17" s="63"/>
      <c r="H17" s="17" t="s">
        <v>39</v>
      </c>
    </row>
    <row r="18" ht="90" customHeight="1" spans="1:8">
      <c r="A18" s="73" t="s">
        <v>40</v>
      </c>
      <c r="B18" s="74" t="s">
        <v>41</v>
      </c>
      <c r="C18" s="68">
        <v>1</v>
      </c>
      <c r="D18" s="68"/>
      <c r="E18" s="69">
        <v>10</v>
      </c>
      <c r="F18" s="70"/>
      <c r="G18" s="75"/>
      <c r="H18" s="17" t="s">
        <v>42</v>
      </c>
    </row>
    <row r="19" ht="31" customHeight="1" spans="1:8">
      <c r="A19" s="76" t="s">
        <v>43</v>
      </c>
      <c r="B19" s="77"/>
      <c r="C19" s="68"/>
      <c r="D19" s="68"/>
      <c r="E19" s="69">
        <f>SUM(E11:E18)</f>
        <v>100</v>
      </c>
      <c r="F19" s="70"/>
      <c r="G19" s="75">
        <f>(SUM(G11:G17))/90*5</f>
        <v>0</v>
      </c>
      <c r="H19" s="33" t="s">
        <v>44</v>
      </c>
    </row>
    <row r="20" ht="33" customHeight="1" spans="1:8">
      <c r="A20" s="34"/>
      <c r="B20" s="34"/>
      <c r="C20" s="34"/>
      <c r="D20" s="34"/>
      <c r="E20" s="34"/>
      <c r="F20" s="34"/>
      <c r="G20" s="34"/>
      <c r="H20" s="34"/>
    </row>
    <row r="21" customFormat="1" ht="14.25" spans="1:58">
      <c r="A21" s="1"/>
      <c r="B21" s="4"/>
      <c r="C21" s="4"/>
      <c r="D21" s="4"/>
      <c r="E21" s="4"/>
      <c r="F21" s="5"/>
      <c r="G21" s="5"/>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row>
    <row r="22" s="54" customFormat="1" ht="25.5" spans="1:6">
      <c r="A22" s="35" t="s">
        <v>45</v>
      </c>
      <c r="B22" s="36" t="s">
        <v>46</v>
      </c>
      <c r="C22" s="78" t="s">
        <v>47</v>
      </c>
      <c r="D22" s="79"/>
      <c r="E22" s="79"/>
      <c r="F22" s="80" t="s">
        <v>48</v>
      </c>
    </row>
    <row r="23" ht="20.25" spans="1:7">
      <c r="A23" s="40"/>
      <c r="B23" s="41"/>
      <c r="C23" s="42"/>
      <c r="D23" s="38"/>
      <c r="E23" s="38"/>
      <c r="F23" s="43"/>
      <c r="G23" s="1"/>
    </row>
    <row r="24" s="3" customFormat="1" ht="16.5" customHeight="1" spans="4:58">
      <c r="D24" s="44"/>
      <c r="E24" s="44"/>
      <c r="F24" s="45"/>
      <c r="G24" s="45"/>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row>
    <row r="25" s="3" customFormat="1" ht="15" customHeight="1" spans="4:58">
      <c r="D25" s="44"/>
      <c r="E25" s="44"/>
      <c r="F25" s="45"/>
      <c r="G25" s="45"/>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row>
    <row r="26" s="3" customFormat="1" ht="15" spans="5:7">
      <c r="E26" s="44"/>
      <c r="F26" s="45"/>
      <c r="G26" s="45"/>
    </row>
    <row r="35" ht="16.5" spans="3:5">
      <c r="C35" s="46" t="s">
        <v>49</v>
      </c>
      <c r="D35" s="46" t="s">
        <v>50</v>
      </c>
      <c r="E35" s="81"/>
    </row>
    <row r="36" ht="14.25" spans="3:5">
      <c r="C36" s="46" t="s">
        <v>51</v>
      </c>
      <c r="D36" s="48" t="s">
        <v>52</v>
      </c>
      <c r="E36" s="48" t="s">
        <v>52</v>
      </c>
    </row>
    <row r="37" ht="14.25" spans="3:5">
      <c r="C37" s="49">
        <v>5</v>
      </c>
      <c r="D37" s="50" t="s">
        <v>53</v>
      </c>
      <c r="E37" s="50" t="s">
        <v>54</v>
      </c>
    </row>
    <row r="38" ht="14.25" spans="3:5">
      <c r="C38" s="49">
        <v>4</v>
      </c>
      <c r="D38" s="51" t="s">
        <v>55</v>
      </c>
      <c r="E38" s="50" t="s">
        <v>56</v>
      </c>
    </row>
    <row r="39" ht="14.25" spans="3:5">
      <c r="C39" s="49">
        <v>3</v>
      </c>
      <c r="D39" s="51" t="s">
        <v>57</v>
      </c>
      <c r="E39" s="50" t="s">
        <v>58</v>
      </c>
    </row>
    <row r="40" ht="28.5" spans="3:5">
      <c r="C40" s="49">
        <v>2</v>
      </c>
      <c r="D40" s="51" t="s">
        <v>59</v>
      </c>
      <c r="E40" s="50" t="s">
        <v>60</v>
      </c>
    </row>
    <row r="41" ht="14.25" spans="3:5">
      <c r="C41" s="49">
        <v>1</v>
      </c>
      <c r="D41" s="51" t="s">
        <v>61</v>
      </c>
      <c r="E41" s="50" t="s">
        <v>62</v>
      </c>
    </row>
  </sheetData>
  <mergeCells count="3">
    <mergeCell ref="A9:H9"/>
    <mergeCell ref="A19:B19"/>
    <mergeCell ref="A1:H2"/>
  </mergeCells>
  <pageMargins left="0.17" right="0.7" top="0.16" bottom="0.17" header="0.3" footer="0.17"/>
  <pageSetup paperSize="1" scale="48"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F33"/>
  <sheetViews>
    <sheetView topLeftCell="A13" workbookViewId="0">
      <selection activeCell="B7" sqref="B7"/>
    </sheetView>
  </sheetViews>
  <sheetFormatPr defaultColWidth="9.14166666666667" defaultRowHeight="12.75"/>
  <cols>
    <col min="1" max="1" width="37.375" style="1" customWidth="1"/>
    <col min="2" max="2" width="40.75" style="1" customWidth="1"/>
    <col min="3" max="3" width="10.25" style="4" customWidth="1"/>
    <col min="4" max="4" width="12.75" style="4" customWidth="1"/>
    <col min="5" max="5" width="21.125" style="4" customWidth="1"/>
    <col min="6" max="6" width="21.75" style="5" customWidth="1"/>
    <col min="7" max="7" width="25.625" style="5" customWidth="1"/>
    <col min="8" max="8" width="59.225" style="1" customWidth="1"/>
    <col min="9" max="9" width="11.7083333333333" style="1" customWidth="1"/>
    <col min="10" max="16384" width="9.14166666666667" style="1"/>
  </cols>
  <sheetData>
    <row r="1" s="1" customFormat="1" ht="22.5" customHeight="1" spans="1:8">
      <c r="A1" s="6" t="s">
        <v>0</v>
      </c>
      <c r="B1" s="6"/>
      <c r="C1" s="6"/>
      <c r="D1" s="6"/>
      <c r="E1" s="6"/>
      <c r="F1" s="6"/>
      <c r="G1" s="6"/>
      <c r="H1" s="6"/>
    </row>
    <row r="2" s="1" customFormat="1" ht="10.5" customHeight="1" spans="1:8">
      <c r="A2" s="6"/>
      <c r="B2" s="6"/>
      <c r="C2" s="6"/>
      <c r="D2" s="6"/>
      <c r="E2" s="6"/>
      <c r="F2" s="6"/>
      <c r="G2" s="6"/>
      <c r="H2" s="6"/>
    </row>
    <row r="3" s="1" customFormat="1" ht="13.5" customHeight="1" spans="1:8">
      <c r="A3" s="7" t="s">
        <v>1</v>
      </c>
      <c r="B3" s="8" t="s">
        <v>63</v>
      </c>
      <c r="C3" s="9"/>
      <c r="D3" s="9"/>
      <c r="E3" s="9"/>
      <c r="F3" s="9"/>
      <c r="G3" s="9"/>
      <c r="H3" s="9"/>
    </row>
    <row r="4" s="1" customFormat="1" ht="15" spans="1:7">
      <c r="A4" s="7" t="s">
        <v>3</v>
      </c>
      <c r="B4" s="8" t="s">
        <v>64</v>
      </c>
      <c r="C4" s="4"/>
      <c r="D4" s="4"/>
      <c r="E4" s="4"/>
      <c r="F4" s="10"/>
      <c r="G4" s="10"/>
    </row>
    <row r="5" s="1" customFormat="1" ht="15" spans="1:7">
      <c r="A5" s="7" t="s">
        <v>5</v>
      </c>
      <c r="B5" s="8" t="s">
        <v>6</v>
      </c>
      <c r="C5" s="4"/>
      <c r="D5" s="4"/>
      <c r="E5" s="4"/>
      <c r="F5" s="10"/>
      <c r="G5" s="10"/>
    </row>
    <row r="6" s="1" customFormat="1" ht="15" spans="1:7">
      <c r="A6" s="7" t="s">
        <v>7</v>
      </c>
      <c r="B6" s="11" t="s">
        <v>8</v>
      </c>
      <c r="C6" s="4"/>
      <c r="D6" s="4"/>
      <c r="E6" s="4"/>
      <c r="F6" s="10"/>
      <c r="G6" s="10"/>
    </row>
    <row r="7" s="1" customFormat="1" ht="15" customHeight="1" spans="1:7">
      <c r="A7" s="7" t="s">
        <v>65</v>
      </c>
      <c r="B7" s="12" t="s">
        <v>10</v>
      </c>
      <c r="C7" s="4"/>
      <c r="D7" s="4"/>
      <c r="E7" s="4"/>
      <c r="F7" s="10"/>
      <c r="G7" s="10"/>
    </row>
    <row r="8" s="2" customFormat="1" ht="18" customHeight="1" spans="1:58">
      <c r="A8" s="1"/>
      <c r="B8" s="1"/>
      <c r="C8" s="4"/>
      <c r="D8" s="4"/>
      <c r="E8" s="4"/>
      <c r="F8" s="10"/>
      <c r="G8" s="10"/>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row>
    <row r="9" s="2" customFormat="1" ht="33.75" customHeight="1" spans="1:58">
      <c r="A9" s="13"/>
      <c r="B9" s="13"/>
      <c r="C9" s="13"/>
      <c r="D9" s="13"/>
      <c r="E9" s="13"/>
      <c r="F9" s="13"/>
      <c r="G9" s="13"/>
      <c r="H9" s="13"/>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row>
    <row r="10" s="2" customFormat="1" ht="89" customHeight="1" spans="1:58">
      <c r="A10" s="14" t="s">
        <v>11</v>
      </c>
      <c r="B10" s="14" t="s">
        <v>12</v>
      </c>
      <c r="C10" s="14" t="s">
        <v>13</v>
      </c>
      <c r="D10" s="14" t="s">
        <v>14</v>
      </c>
      <c r="E10" s="14" t="s">
        <v>15</v>
      </c>
      <c r="F10" s="15" t="s">
        <v>16</v>
      </c>
      <c r="G10" s="15" t="s">
        <v>17</v>
      </c>
      <c r="H10" s="16" t="s">
        <v>18</v>
      </c>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row>
    <row r="11" s="2" customFormat="1" ht="75" customHeight="1" spans="1:58">
      <c r="A11" s="17" t="s">
        <v>19</v>
      </c>
      <c r="B11" s="17" t="s">
        <v>20</v>
      </c>
      <c r="C11" s="18">
        <v>1</v>
      </c>
      <c r="D11" s="19"/>
      <c r="E11" s="20">
        <v>20</v>
      </c>
      <c r="F11" s="21">
        <v>0</v>
      </c>
      <c r="G11" s="20">
        <f>(E11*F11)/5</f>
        <v>0</v>
      </c>
      <c r="H11" s="17" t="s">
        <v>21</v>
      </c>
      <c r="I11" s="52"/>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row>
    <row r="12" s="2" customFormat="1" ht="72" customHeight="1" spans="1:58">
      <c r="A12" s="17" t="s">
        <v>66</v>
      </c>
      <c r="B12" s="17" t="s">
        <v>67</v>
      </c>
      <c r="C12" s="18">
        <v>1</v>
      </c>
      <c r="D12" s="19"/>
      <c r="E12" s="20">
        <v>15</v>
      </c>
      <c r="F12" s="21">
        <v>0</v>
      </c>
      <c r="G12" s="20">
        <f>(E12*F12)/5</f>
        <v>0</v>
      </c>
      <c r="H12" s="17" t="s">
        <v>68</v>
      </c>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row>
    <row r="13" s="1" customFormat="1" ht="74" customHeight="1" spans="1:8">
      <c r="A13" s="22" t="s">
        <v>34</v>
      </c>
      <c r="B13" s="17" t="s">
        <v>35</v>
      </c>
      <c r="C13" s="23">
        <v>1</v>
      </c>
      <c r="D13" s="23"/>
      <c r="E13" s="24">
        <v>20</v>
      </c>
      <c r="F13" s="21">
        <v>0</v>
      </c>
      <c r="G13" s="20">
        <f>(E13*F13)/5</f>
        <v>0</v>
      </c>
      <c r="H13" s="17" t="s">
        <v>69</v>
      </c>
    </row>
    <row r="14" s="1" customFormat="1" ht="84" customHeight="1" spans="1:8">
      <c r="A14" s="17" t="s">
        <v>28</v>
      </c>
      <c r="B14" s="17" t="s">
        <v>29</v>
      </c>
      <c r="C14" s="23">
        <v>1</v>
      </c>
      <c r="D14" s="23"/>
      <c r="E14" s="24">
        <v>20</v>
      </c>
      <c r="F14" s="21">
        <v>0</v>
      </c>
      <c r="G14" s="20">
        <f>(E14*F14)/5</f>
        <v>0</v>
      </c>
      <c r="H14" s="17" t="s">
        <v>30</v>
      </c>
    </row>
    <row r="15" s="1" customFormat="1" ht="74" customHeight="1" spans="1:8">
      <c r="A15" s="22" t="s">
        <v>37</v>
      </c>
      <c r="B15" s="22" t="s">
        <v>38</v>
      </c>
      <c r="C15" s="23">
        <v>1</v>
      </c>
      <c r="D15" s="23"/>
      <c r="E15" s="24">
        <v>15</v>
      </c>
      <c r="F15" s="21">
        <v>0</v>
      </c>
      <c r="G15" s="20">
        <f>(E15*F15)/5</f>
        <v>0</v>
      </c>
      <c r="H15" s="17" t="s">
        <v>39</v>
      </c>
    </row>
    <row r="16" s="1" customFormat="1" ht="90" customHeight="1" spans="1:8">
      <c r="A16" s="22" t="s">
        <v>70</v>
      </c>
      <c r="B16" s="22" t="s">
        <v>41</v>
      </c>
      <c r="C16" s="23">
        <v>1</v>
      </c>
      <c r="D16" s="23"/>
      <c r="E16" s="24">
        <v>10</v>
      </c>
      <c r="F16" s="25"/>
      <c r="G16" s="26"/>
      <c r="H16" s="17" t="s">
        <v>42</v>
      </c>
    </row>
    <row r="17" s="1" customFormat="1" ht="33" customHeight="1" spans="1:8">
      <c r="A17" s="27" t="s">
        <v>43</v>
      </c>
      <c r="B17" s="28"/>
      <c r="C17" s="29"/>
      <c r="D17" s="29"/>
      <c r="E17" s="30">
        <f>SUM(E11:E16)</f>
        <v>100</v>
      </c>
      <c r="F17" s="31"/>
      <c r="G17" s="32">
        <f>(SUM(G11:G16))/90*5</f>
        <v>0</v>
      </c>
      <c r="H17" s="33"/>
    </row>
    <row r="18" s="1" customFormat="1" ht="33" customHeight="1" spans="1:8">
      <c r="A18" s="34"/>
      <c r="B18" s="34"/>
      <c r="C18" s="34"/>
      <c r="D18" s="34"/>
      <c r="E18" s="34"/>
      <c r="F18" s="34"/>
      <c r="G18" s="34"/>
      <c r="H18" s="34"/>
    </row>
    <row r="19" customFormat="1" ht="14.25" spans="1:58">
      <c r="A19" s="1"/>
      <c r="B19" s="4"/>
      <c r="C19" s="4"/>
      <c r="D19" s="4"/>
      <c r="E19" s="4"/>
      <c r="F19" s="5"/>
      <c r="G19" s="5"/>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row>
    <row r="20" s="1" customFormat="1" ht="20.25" spans="1:6">
      <c r="A20" s="35" t="s">
        <v>45</v>
      </c>
      <c r="B20" s="36" t="s">
        <v>46</v>
      </c>
      <c r="C20" s="37" t="s">
        <v>47</v>
      </c>
      <c r="D20" s="38"/>
      <c r="E20" s="38"/>
      <c r="F20" s="39" t="s">
        <v>48</v>
      </c>
    </row>
    <row r="21" s="1" customFormat="1" ht="20.25" spans="1:6">
      <c r="A21" s="40"/>
      <c r="B21" s="41"/>
      <c r="C21" s="42"/>
      <c r="D21" s="38"/>
      <c r="E21" s="38"/>
      <c r="F21" s="43"/>
    </row>
    <row r="22" s="3" customFormat="1" ht="16.5" customHeight="1" spans="4:58">
      <c r="D22" s="44"/>
      <c r="E22" s="44"/>
      <c r="F22" s="45"/>
      <c r="G22" s="45"/>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row>
    <row r="23" s="3" customFormat="1" ht="15" customHeight="1" spans="4:58">
      <c r="D23" s="44"/>
      <c r="E23" s="44"/>
      <c r="F23" s="45"/>
      <c r="G23" s="45"/>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row>
    <row r="24" s="3" customFormat="1" ht="15" spans="4:7">
      <c r="D24" s="44"/>
      <c r="E24" s="44"/>
      <c r="F24" s="45"/>
      <c r="G24" s="45"/>
    </row>
    <row r="27" ht="16.5" spans="3:5">
      <c r="C27" s="46" t="s">
        <v>49</v>
      </c>
      <c r="D27" s="46" t="s">
        <v>50</v>
      </c>
      <c r="E27" s="47"/>
    </row>
    <row r="28" ht="14.25" spans="3:5">
      <c r="C28" s="46" t="s">
        <v>51</v>
      </c>
      <c r="D28" s="48" t="s">
        <v>52</v>
      </c>
      <c r="E28" s="48" t="s">
        <v>52</v>
      </c>
    </row>
    <row r="29" ht="14.25" spans="3:5">
      <c r="C29" s="49">
        <v>5</v>
      </c>
      <c r="D29" s="50" t="s">
        <v>53</v>
      </c>
      <c r="E29" s="50" t="s">
        <v>54</v>
      </c>
    </row>
    <row r="30" ht="28.5" spans="3:5">
      <c r="C30" s="49">
        <v>4</v>
      </c>
      <c r="D30" s="51" t="s">
        <v>55</v>
      </c>
      <c r="E30" s="50" t="s">
        <v>56</v>
      </c>
    </row>
    <row r="31" ht="28.5" spans="3:5">
      <c r="C31" s="49">
        <v>3</v>
      </c>
      <c r="D31" s="51" t="s">
        <v>57</v>
      </c>
      <c r="E31" s="50" t="s">
        <v>58</v>
      </c>
    </row>
    <row r="32" ht="28.5" spans="3:5">
      <c r="C32" s="49">
        <v>2</v>
      </c>
      <c r="D32" s="51" t="s">
        <v>59</v>
      </c>
      <c r="E32" s="50" t="s">
        <v>60</v>
      </c>
    </row>
    <row r="33" ht="28.5" spans="3:5">
      <c r="C33" s="49">
        <v>1</v>
      </c>
      <c r="D33" s="51" t="s">
        <v>61</v>
      </c>
      <c r="E33" s="50" t="s">
        <v>62</v>
      </c>
    </row>
  </sheetData>
  <mergeCells count="3">
    <mergeCell ref="A9:H9"/>
    <mergeCell ref="A17:B17"/>
    <mergeCell ref="A1:H2"/>
  </mergeCells>
  <pageMargins left="0.75" right="0.75" top="1" bottom="1" header="0.5" footer="0.5"/>
  <pageSetup paperSize="256"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I28"/>
  <sheetViews>
    <sheetView topLeftCell="A12" workbookViewId="0">
      <selection activeCell="E15" sqref="E15"/>
    </sheetView>
  </sheetViews>
  <sheetFormatPr defaultColWidth="9.10833333333333" defaultRowHeight="12.75"/>
  <cols>
    <col min="1" max="1" width="3.33333333333333" style="1" customWidth="1"/>
    <col min="2" max="2" width="26" style="1" customWidth="1"/>
    <col min="3" max="3" width="51.2166666666667" style="1" customWidth="1"/>
    <col min="4" max="4" width="22.25" style="4" customWidth="1"/>
    <col min="5" max="5" width="21.775" style="1" customWidth="1"/>
    <col min="6" max="6" width="22" style="1" customWidth="1"/>
    <col min="7" max="7" width="24.8833333333333" style="4" customWidth="1"/>
    <col min="8" max="8" width="27.6666666666667" style="5" customWidth="1"/>
    <col min="9" max="9" width="61.8083333333333" style="1" customWidth="1"/>
    <col min="10" max="10" width="9.10833333333333" style="1"/>
    <col min="11" max="11" width="45.775" style="1" customWidth="1"/>
    <col min="12" max="16384" width="9.10833333333333" style="1"/>
  </cols>
  <sheetData>
    <row r="1" s="54" customFormat="1" customHeight="1" spans="2:9">
      <c r="B1" s="6" t="s">
        <v>0</v>
      </c>
      <c r="C1" s="6"/>
      <c r="D1" s="6"/>
      <c r="E1" s="6"/>
      <c r="F1" s="6"/>
      <c r="G1" s="6"/>
      <c r="H1" s="6"/>
      <c r="I1" s="6"/>
    </row>
    <row r="2" s="54" customFormat="1" ht="21.75" customHeight="1" spans="1:9">
      <c r="A2" s="83"/>
      <c r="B2" s="6"/>
      <c r="C2" s="6"/>
      <c r="D2" s="6"/>
      <c r="E2" s="6"/>
      <c r="F2" s="6"/>
      <c r="G2" s="6"/>
      <c r="H2" s="6"/>
      <c r="I2" s="6"/>
    </row>
    <row r="3" s="54" customFormat="1" ht="15" customHeight="1" spans="4:8">
      <c r="D3" s="84"/>
      <c r="E3" s="84"/>
      <c r="G3" s="85"/>
      <c r="H3" s="86"/>
    </row>
    <row r="4" s="54" customFormat="1" ht="15" customHeight="1" spans="2:8">
      <c r="B4" s="89" t="s">
        <v>1</v>
      </c>
      <c r="C4" s="87" t="s">
        <v>71</v>
      </c>
      <c r="D4" s="47"/>
      <c r="E4" s="47"/>
      <c r="F4" s="54" t="s">
        <v>72</v>
      </c>
      <c r="G4" s="85" t="s">
        <v>73</v>
      </c>
      <c r="H4" s="86"/>
    </row>
    <row r="5" s="54" customFormat="1" ht="15" customHeight="1" spans="2:8">
      <c r="B5" s="89" t="s">
        <v>3</v>
      </c>
      <c r="C5" s="87" t="s">
        <v>74</v>
      </c>
      <c r="D5" s="47"/>
      <c r="E5" s="47"/>
      <c r="G5" s="85"/>
      <c r="H5" s="86"/>
    </row>
    <row r="6" s="54" customFormat="1" ht="15" customHeight="1" spans="2:8">
      <c r="B6" s="89" t="s">
        <v>5</v>
      </c>
      <c r="C6" s="87" t="s">
        <v>75</v>
      </c>
      <c r="D6" s="47"/>
      <c r="E6" s="47"/>
      <c r="G6" s="85"/>
      <c r="H6" s="86"/>
    </row>
    <row r="7" s="54" customFormat="1" ht="15" customHeight="1" spans="2:8">
      <c r="B7" s="89" t="s">
        <v>7</v>
      </c>
      <c r="C7" s="88" t="s">
        <v>76</v>
      </c>
      <c r="D7" s="47"/>
      <c r="E7" s="47"/>
      <c r="G7" s="85"/>
      <c r="H7" s="86"/>
    </row>
    <row r="8" s="54" customFormat="1" ht="15" customHeight="1" spans="2:9">
      <c r="B8" s="89" t="s">
        <v>9</v>
      </c>
      <c r="C8" s="12" t="s">
        <v>10</v>
      </c>
      <c r="D8" s="84"/>
      <c r="E8" s="84"/>
      <c r="G8" s="85"/>
      <c r="H8" s="86"/>
      <c r="I8" s="123"/>
    </row>
    <row r="9" s="2" customFormat="1" ht="33.75" customHeight="1" spans="1:61">
      <c r="A9" s="53"/>
      <c r="B9" s="90"/>
      <c r="C9" s="90"/>
      <c r="D9" s="90"/>
      <c r="E9" s="90"/>
      <c r="F9" s="90"/>
      <c r="G9" s="90"/>
      <c r="H9" s="90"/>
      <c r="I9" s="90"/>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row>
    <row r="10" s="2" customFormat="1" ht="96.6" customHeight="1" spans="1:61">
      <c r="A10" s="91"/>
      <c r="B10" s="14" t="s">
        <v>11</v>
      </c>
      <c r="C10" s="14" t="s">
        <v>12</v>
      </c>
      <c r="D10" s="14" t="s">
        <v>77</v>
      </c>
      <c r="E10" s="14" t="s">
        <v>14</v>
      </c>
      <c r="F10" s="14" t="s">
        <v>15</v>
      </c>
      <c r="G10" s="15" t="s">
        <v>16</v>
      </c>
      <c r="H10" s="15" t="s">
        <v>17</v>
      </c>
      <c r="I10" s="14" t="s">
        <v>18</v>
      </c>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row>
    <row r="11" s="2" customFormat="1" ht="87" customHeight="1" spans="1:61">
      <c r="A11" s="92"/>
      <c r="B11" s="93" t="s">
        <v>78</v>
      </c>
      <c r="C11" s="57" t="s">
        <v>79</v>
      </c>
      <c r="D11" s="95">
        <v>1</v>
      </c>
      <c r="E11" s="131"/>
      <c r="F11" s="96">
        <v>35</v>
      </c>
      <c r="G11" s="96">
        <v>0</v>
      </c>
      <c r="H11" s="96">
        <f t="shared" ref="H11:H15" si="0">(F11*G11)/5</f>
        <v>0</v>
      </c>
      <c r="I11" s="125" t="s">
        <v>80</v>
      </c>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row>
    <row r="12" s="2" customFormat="1" ht="87" customHeight="1" spans="1:61">
      <c r="A12" s="92"/>
      <c r="B12" s="93" t="s">
        <v>81</v>
      </c>
      <c r="C12" s="57" t="s">
        <v>82</v>
      </c>
      <c r="D12" s="95">
        <v>1</v>
      </c>
      <c r="E12" s="132"/>
      <c r="F12" s="96">
        <v>25</v>
      </c>
      <c r="G12" s="96">
        <v>0</v>
      </c>
      <c r="H12" s="96">
        <f t="shared" si="0"/>
        <v>0</v>
      </c>
      <c r="I12" s="125" t="s">
        <v>83</v>
      </c>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row>
    <row r="13" s="53" customFormat="1" ht="85" customHeight="1" spans="1:9">
      <c r="A13" s="92"/>
      <c r="B13" s="97" t="s">
        <v>84</v>
      </c>
      <c r="C13" s="57" t="s">
        <v>85</v>
      </c>
      <c r="D13" s="95">
        <v>1</v>
      </c>
      <c r="E13" s="132"/>
      <c r="F13" s="96">
        <v>20</v>
      </c>
      <c r="G13" s="96">
        <v>0</v>
      </c>
      <c r="H13" s="96">
        <f t="shared" si="0"/>
        <v>0</v>
      </c>
      <c r="I13" s="125" t="s">
        <v>86</v>
      </c>
    </row>
    <row r="14" s="82" customFormat="1" ht="88" customHeight="1" spans="1:9">
      <c r="A14" s="98"/>
      <c r="B14" s="103" t="s">
        <v>87</v>
      </c>
      <c r="C14" s="104" t="s">
        <v>88</v>
      </c>
      <c r="D14" s="99">
        <v>1</v>
      </c>
      <c r="E14" s="131"/>
      <c r="F14" s="101">
        <v>10</v>
      </c>
      <c r="G14" s="96">
        <v>0</v>
      </c>
      <c r="H14" s="96">
        <f t="shared" si="0"/>
        <v>0</v>
      </c>
      <c r="I14" s="125" t="s">
        <v>89</v>
      </c>
    </row>
    <row r="15" s="52" customFormat="1" ht="89" customHeight="1" spans="1:9">
      <c r="A15" s="102"/>
      <c r="B15" s="93" t="s">
        <v>90</v>
      </c>
      <c r="C15" s="57" t="s">
        <v>91</v>
      </c>
      <c r="D15" s="95">
        <v>1</v>
      </c>
      <c r="E15" s="131"/>
      <c r="F15" s="96">
        <v>10</v>
      </c>
      <c r="G15" s="96">
        <v>0</v>
      </c>
      <c r="H15" s="96">
        <f t="shared" si="0"/>
        <v>0</v>
      </c>
      <c r="I15" s="125" t="s">
        <v>92</v>
      </c>
    </row>
    <row r="16" s="53" customFormat="1" ht="29.25" customHeight="1" spans="1:58">
      <c r="A16" s="105" t="s">
        <v>43</v>
      </c>
      <c r="B16" s="106"/>
      <c r="C16" s="107"/>
      <c r="D16" s="108"/>
      <c r="E16" s="96"/>
      <c r="F16" s="25">
        <f>SUM(F11:F15)</f>
        <v>100</v>
      </c>
      <c r="G16" s="109"/>
      <c r="H16" s="110" cm="1">
        <f t="array" ref="H16">SUM(H11:H15/100*5)</f>
        <v>0</v>
      </c>
      <c r="I16" s="54"/>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row>
    <row r="17" s="1" customFormat="1" ht="18.75" customHeight="1" spans="1:9">
      <c r="A17" s="54"/>
      <c r="B17" s="111"/>
      <c r="C17" s="111"/>
      <c r="D17" s="91"/>
      <c r="E17" s="91"/>
      <c r="F17" s="54"/>
      <c r="G17" s="112"/>
      <c r="H17" s="113">
        <f>H16*100/5</f>
        <v>0</v>
      </c>
      <c r="I17" s="85"/>
    </row>
    <row r="18" s="1" customFormat="1" ht="20.1" customHeight="1" spans="1:9">
      <c r="A18" s="54"/>
      <c r="B18" s="78" t="s">
        <v>45</v>
      </c>
      <c r="C18" s="54"/>
      <c r="D18" s="78" t="s">
        <v>47</v>
      </c>
      <c r="E18" s="54"/>
      <c r="F18" s="35" t="s">
        <v>46</v>
      </c>
      <c r="G18" s="114"/>
      <c r="H18" s="115"/>
      <c r="I18" s="127" t="s">
        <v>48</v>
      </c>
    </row>
    <row r="19" s="1" customFormat="1" spans="4:8">
      <c r="D19" s="116"/>
      <c r="G19" s="4"/>
      <c r="H19" s="5"/>
    </row>
    <row r="20" customFormat="1" ht="15" spans="1:9">
      <c r="A20" s="1"/>
      <c r="B20" s="117"/>
      <c r="C20" s="42"/>
      <c r="D20" s="41"/>
      <c r="E20" s="41"/>
      <c r="F20" s="3"/>
      <c r="G20" s="44"/>
      <c r="H20" s="45"/>
      <c r="I20" s="3"/>
    </row>
    <row r="21" s="1" customFormat="1" ht="15" spans="1:9">
      <c r="A21" s="3"/>
      <c r="B21" s="3"/>
      <c r="C21" s="3"/>
      <c r="D21" s="44"/>
      <c r="E21" s="118"/>
      <c r="F21" s="3"/>
      <c r="G21" s="44"/>
      <c r="H21" s="45"/>
      <c r="I21" s="118"/>
    </row>
    <row r="22" s="1" customFormat="1" ht="16.5" spans="1:9">
      <c r="A22" s="3"/>
      <c r="B22" s="3"/>
      <c r="C22" s="119"/>
      <c r="D22" s="46" t="s">
        <v>49</v>
      </c>
      <c r="E22" s="46" t="s">
        <v>50</v>
      </c>
      <c r="F22" s="47"/>
      <c r="G22" s="118"/>
      <c r="H22" s="120"/>
      <c r="I22" s="118"/>
    </row>
    <row r="23" s="1" customFormat="1" ht="13.5" customHeight="1" spans="2:8">
      <c r="B23" s="121"/>
      <c r="C23" s="42"/>
      <c r="D23" s="46" t="s">
        <v>51</v>
      </c>
      <c r="E23" s="48" t="s">
        <v>52</v>
      </c>
      <c r="F23" s="48" t="s">
        <v>52</v>
      </c>
      <c r="G23" s="122"/>
      <c r="H23" s="5"/>
    </row>
    <row r="24" s="1" customFormat="1" ht="14.25" spans="3:8">
      <c r="C24" s="42"/>
      <c r="D24" s="49">
        <v>5</v>
      </c>
      <c r="E24" s="50" t="s">
        <v>53</v>
      </c>
      <c r="F24" s="50" t="s">
        <v>54</v>
      </c>
      <c r="G24" s="4"/>
      <c r="H24" s="5"/>
    </row>
    <row r="25" s="1" customFormat="1" ht="14.25" spans="4:8">
      <c r="D25" s="49">
        <v>4</v>
      </c>
      <c r="E25" s="51" t="s">
        <v>55</v>
      </c>
      <c r="F25" s="50" t="s">
        <v>56</v>
      </c>
      <c r="G25" s="4"/>
      <c r="H25" s="5"/>
    </row>
    <row r="26" s="1" customFormat="1" ht="14.25" spans="4:8">
      <c r="D26" s="49">
        <v>3</v>
      </c>
      <c r="E26" s="51" t="s">
        <v>57</v>
      </c>
      <c r="F26" s="50" t="s">
        <v>58</v>
      </c>
      <c r="G26" s="4"/>
      <c r="H26" s="5"/>
    </row>
    <row r="27" s="1" customFormat="1" ht="14.25" spans="4:8">
      <c r="D27" s="49">
        <v>2</v>
      </c>
      <c r="E27" s="51" t="s">
        <v>59</v>
      </c>
      <c r="F27" s="50" t="s">
        <v>60</v>
      </c>
      <c r="G27" s="4"/>
      <c r="H27" s="5"/>
    </row>
    <row r="28" s="1" customFormat="1" ht="14.25" spans="4:8">
      <c r="D28" s="49">
        <v>1</v>
      </c>
      <c r="E28" s="51" t="s">
        <v>61</v>
      </c>
      <c r="F28" s="50" t="s">
        <v>62</v>
      </c>
      <c r="G28" s="4"/>
      <c r="H28" s="5"/>
    </row>
  </sheetData>
  <mergeCells count="5">
    <mergeCell ref="B9:I9"/>
    <mergeCell ref="A16:C16"/>
    <mergeCell ref="D17:E17"/>
    <mergeCell ref="D20:E20"/>
    <mergeCell ref="B1:I2"/>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I28"/>
  <sheetViews>
    <sheetView topLeftCell="A12" workbookViewId="0">
      <selection activeCell="C15" sqref="C15"/>
    </sheetView>
  </sheetViews>
  <sheetFormatPr defaultColWidth="9.10833333333333" defaultRowHeight="12.75"/>
  <cols>
    <col min="1" max="1" width="3.33333333333333" style="1" customWidth="1"/>
    <col min="2" max="2" width="26" style="1" customWidth="1"/>
    <col min="3" max="3" width="51.375" style="1" customWidth="1"/>
    <col min="4" max="4" width="23.2166666666667" style="4" customWidth="1"/>
    <col min="5" max="5" width="21.775" style="1" customWidth="1"/>
    <col min="6" max="6" width="22" style="1" customWidth="1"/>
    <col min="7" max="7" width="24.8833333333333" style="4" customWidth="1"/>
    <col min="8" max="8" width="27.6666666666667" style="5" customWidth="1"/>
    <col min="9" max="9" width="61.2416666666667" style="1" customWidth="1"/>
    <col min="10" max="10" width="9.10833333333333" style="1"/>
    <col min="11" max="11" width="45.775" style="1" customWidth="1"/>
    <col min="12" max="16384" width="9.10833333333333" style="1"/>
  </cols>
  <sheetData>
    <row r="1" s="54" customFormat="1" customHeight="1" spans="2:9">
      <c r="B1" s="6" t="s">
        <v>0</v>
      </c>
      <c r="C1" s="6"/>
      <c r="D1" s="6"/>
      <c r="E1" s="6"/>
      <c r="F1" s="6"/>
      <c r="G1" s="6"/>
      <c r="H1" s="6"/>
      <c r="I1" s="6"/>
    </row>
    <row r="2" s="54" customFormat="1" ht="21.75" customHeight="1" spans="1:9">
      <c r="A2" s="83"/>
      <c r="B2" s="6"/>
      <c r="C2" s="6"/>
      <c r="D2" s="6"/>
      <c r="E2" s="6"/>
      <c r="F2" s="6"/>
      <c r="G2" s="6"/>
      <c r="H2" s="6"/>
      <c r="I2" s="6"/>
    </row>
    <row r="3" s="54" customFormat="1" ht="15" customHeight="1" spans="4:8">
      <c r="D3" s="84"/>
      <c r="E3" s="84"/>
      <c r="G3" s="85"/>
      <c r="H3" s="86"/>
    </row>
    <row r="4" s="54" customFormat="1" ht="15" customHeight="1" spans="2:8">
      <c r="B4" s="7" t="s">
        <v>1</v>
      </c>
      <c r="C4" s="87" t="s">
        <v>93</v>
      </c>
      <c r="D4" s="47"/>
      <c r="E4" s="47"/>
      <c r="F4" s="54" t="s">
        <v>72</v>
      </c>
      <c r="G4" s="85" t="s">
        <v>73</v>
      </c>
      <c r="H4" s="86"/>
    </row>
    <row r="5" s="54" customFormat="1" ht="15" customHeight="1" spans="2:8">
      <c r="B5" s="7" t="s">
        <v>3</v>
      </c>
      <c r="C5" s="87" t="s">
        <v>74</v>
      </c>
      <c r="D5" s="47"/>
      <c r="E5" s="47"/>
      <c r="G5" s="85"/>
      <c r="H5" s="86"/>
    </row>
    <row r="6" s="54" customFormat="1" ht="15" customHeight="1" spans="2:8">
      <c r="B6" s="7" t="s">
        <v>5</v>
      </c>
      <c r="C6" s="87" t="s">
        <v>75</v>
      </c>
      <c r="D6" s="47"/>
      <c r="E6" s="47"/>
      <c r="G6" s="85"/>
      <c r="H6" s="86"/>
    </row>
    <row r="7" s="54" customFormat="1" ht="15" customHeight="1" spans="2:8">
      <c r="B7" s="7" t="s">
        <v>7</v>
      </c>
      <c r="C7" s="88" t="s">
        <v>76</v>
      </c>
      <c r="D7" s="47"/>
      <c r="E7" s="47"/>
      <c r="G7" s="85"/>
      <c r="H7" s="86"/>
    </row>
    <row r="8" s="54" customFormat="1" ht="15" customHeight="1" spans="2:9">
      <c r="B8" s="89" t="s">
        <v>9</v>
      </c>
      <c r="C8" s="12" t="s">
        <v>10</v>
      </c>
      <c r="D8" s="84"/>
      <c r="E8" s="84"/>
      <c r="G8" s="85"/>
      <c r="H8" s="86"/>
      <c r="I8" s="123"/>
    </row>
    <row r="9" s="2" customFormat="1" ht="33.75" customHeight="1" spans="1:61">
      <c r="A9" s="53"/>
      <c r="B9" s="90"/>
      <c r="C9" s="90"/>
      <c r="D9" s="90"/>
      <c r="E9" s="90"/>
      <c r="F9" s="90"/>
      <c r="G9" s="90"/>
      <c r="H9" s="90"/>
      <c r="I9" s="90"/>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row>
    <row r="10" s="2" customFormat="1" ht="96.6" customHeight="1" spans="1:61">
      <c r="A10" s="91"/>
      <c r="B10" s="14" t="s">
        <v>11</v>
      </c>
      <c r="C10" s="14" t="s">
        <v>12</v>
      </c>
      <c r="D10" s="14" t="s">
        <v>77</v>
      </c>
      <c r="E10" s="14" t="s">
        <v>14</v>
      </c>
      <c r="F10" s="14" t="s">
        <v>15</v>
      </c>
      <c r="G10" s="15" t="s">
        <v>16</v>
      </c>
      <c r="H10" s="15" t="s">
        <v>17</v>
      </c>
      <c r="I10" s="14" t="s">
        <v>18</v>
      </c>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row>
    <row r="11" s="2" customFormat="1" ht="88" customHeight="1" spans="1:61">
      <c r="A11" s="92"/>
      <c r="B11" s="93" t="s">
        <v>78</v>
      </c>
      <c r="C11" s="57" t="s">
        <v>79</v>
      </c>
      <c r="D11" s="95">
        <v>1</v>
      </c>
      <c r="E11" s="95">
        <v>0</v>
      </c>
      <c r="F11" s="96">
        <v>35</v>
      </c>
      <c r="G11" s="96">
        <v>0</v>
      </c>
      <c r="H11" s="96">
        <f t="shared" ref="H11:H15" si="0">(F11*G11)/5</f>
        <v>0</v>
      </c>
      <c r="I11" s="125" t="s">
        <v>80</v>
      </c>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row>
    <row r="12" s="2" customFormat="1" ht="94.2" customHeight="1" spans="1:61">
      <c r="A12" s="92"/>
      <c r="B12" s="93" t="s">
        <v>81</v>
      </c>
      <c r="C12" s="57" t="s">
        <v>82</v>
      </c>
      <c r="D12" s="95">
        <v>1</v>
      </c>
      <c r="E12" s="95">
        <v>0</v>
      </c>
      <c r="F12" s="96">
        <v>25</v>
      </c>
      <c r="G12" s="96">
        <v>0</v>
      </c>
      <c r="H12" s="96">
        <f t="shared" si="0"/>
        <v>0</v>
      </c>
      <c r="I12" s="125" t="s">
        <v>83</v>
      </c>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row>
    <row r="13" s="53" customFormat="1" ht="89" customHeight="1" spans="1:9">
      <c r="A13" s="92"/>
      <c r="B13" s="97" t="s">
        <v>84</v>
      </c>
      <c r="C13" s="57" t="s">
        <v>94</v>
      </c>
      <c r="D13" s="95">
        <v>1</v>
      </c>
      <c r="E13" s="95">
        <v>0</v>
      </c>
      <c r="F13" s="96">
        <v>20</v>
      </c>
      <c r="G13" s="96">
        <v>0</v>
      </c>
      <c r="H13" s="96">
        <f t="shared" si="0"/>
        <v>0</v>
      </c>
      <c r="I13" s="125" t="s">
        <v>95</v>
      </c>
    </row>
    <row r="14" s="82" customFormat="1" ht="90" customHeight="1" spans="1:9">
      <c r="A14" s="98"/>
      <c r="B14" s="103" t="s">
        <v>87</v>
      </c>
      <c r="C14" s="104" t="s">
        <v>88</v>
      </c>
      <c r="D14" s="99">
        <v>1</v>
      </c>
      <c r="E14" s="100">
        <v>0</v>
      </c>
      <c r="F14" s="101">
        <v>10</v>
      </c>
      <c r="G14" s="96">
        <v>0</v>
      </c>
      <c r="H14" s="96">
        <f t="shared" si="0"/>
        <v>0</v>
      </c>
      <c r="I14" s="125" t="s">
        <v>96</v>
      </c>
    </row>
    <row r="15" s="52" customFormat="1" ht="97.8" customHeight="1" spans="1:9">
      <c r="A15" s="102"/>
      <c r="B15" s="93" t="s">
        <v>90</v>
      </c>
      <c r="C15" s="57" t="s">
        <v>97</v>
      </c>
      <c r="D15" s="95">
        <v>1</v>
      </c>
      <c r="E15" s="95">
        <v>0</v>
      </c>
      <c r="F15" s="96">
        <v>10</v>
      </c>
      <c r="G15" s="96">
        <v>0</v>
      </c>
      <c r="H15" s="96">
        <f t="shared" si="0"/>
        <v>0</v>
      </c>
      <c r="I15" s="126" t="s">
        <v>92</v>
      </c>
    </row>
    <row r="16" s="53" customFormat="1" ht="29.25" customHeight="1" spans="1:58">
      <c r="A16" s="105" t="s">
        <v>43</v>
      </c>
      <c r="B16" s="106"/>
      <c r="C16" s="107"/>
      <c r="D16" s="108"/>
      <c r="E16" s="96"/>
      <c r="F16" s="25">
        <f>SUM(F11:F15)</f>
        <v>100</v>
      </c>
      <c r="G16" s="109"/>
      <c r="H16" s="110" cm="1">
        <f t="array" ref="H16">SUM(H11:H15/100*5)</f>
        <v>0</v>
      </c>
      <c r="I16" s="54"/>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row>
    <row r="17" s="1" customFormat="1" ht="18.75" customHeight="1" spans="1:9">
      <c r="A17" s="54"/>
      <c r="B17" s="111"/>
      <c r="C17" s="111"/>
      <c r="D17" s="91"/>
      <c r="E17" s="91"/>
      <c r="F17" s="54"/>
      <c r="G17" s="112"/>
      <c r="H17" s="113">
        <f>H16*100/5</f>
        <v>0</v>
      </c>
      <c r="I17" s="85"/>
    </row>
    <row r="18" s="1" customFormat="1" ht="20.1" customHeight="1" spans="1:9">
      <c r="A18" s="54"/>
      <c r="B18" s="78" t="s">
        <v>45</v>
      </c>
      <c r="C18" s="54"/>
      <c r="D18" s="78" t="s">
        <v>47</v>
      </c>
      <c r="E18" s="54"/>
      <c r="F18" s="35" t="s">
        <v>46</v>
      </c>
      <c r="G18" s="114"/>
      <c r="H18" s="115"/>
      <c r="I18" s="127" t="s">
        <v>48</v>
      </c>
    </row>
    <row r="19" s="1" customFormat="1" spans="4:8">
      <c r="D19" s="116"/>
      <c r="G19" s="4"/>
      <c r="H19" s="5"/>
    </row>
    <row r="20" customFormat="1" ht="15" spans="1:9">
      <c r="A20" s="1"/>
      <c r="B20" s="117"/>
      <c r="C20" s="42"/>
      <c r="D20" s="41"/>
      <c r="E20" s="41"/>
      <c r="F20" s="3"/>
      <c r="G20" s="44"/>
      <c r="H20" s="45"/>
      <c r="I20" s="3"/>
    </row>
    <row r="21" s="1" customFormat="1" ht="15" spans="1:9">
      <c r="A21" s="3"/>
      <c r="B21" s="3"/>
      <c r="C21" s="3"/>
      <c r="D21" s="44"/>
      <c r="E21" s="118"/>
      <c r="F21" s="3"/>
      <c r="G21" s="44"/>
      <c r="H21" s="45"/>
      <c r="I21" s="118"/>
    </row>
    <row r="22" s="1" customFormat="1" ht="16.5" spans="1:9">
      <c r="A22" s="3"/>
      <c r="B22" s="3"/>
      <c r="C22" s="119"/>
      <c r="D22" s="46" t="s">
        <v>49</v>
      </c>
      <c r="E22" s="46" t="s">
        <v>50</v>
      </c>
      <c r="F22" s="47"/>
      <c r="G22" s="118"/>
      <c r="H22" s="120"/>
      <c r="I22" s="118"/>
    </row>
    <row r="23" s="1" customFormat="1" ht="13.5" customHeight="1" spans="2:8">
      <c r="B23" s="121"/>
      <c r="C23" s="42"/>
      <c r="D23" s="46" t="s">
        <v>51</v>
      </c>
      <c r="E23" s="48" t="s">
        <v>52</v>
      </c>
      <c r="F23" s="48" t="s">
        <v>52</v>
      </c>
      <c r="G23" s="122"/>
      <c r="H23" s="5"/>
    </row>
    <row r="24" s="1" customFormat="1" ht="14.25" spans="3:8">
      <c r="C24" s="42"/>
      <c r="D24" s="49">
        <v>5</v>
      </c>
      <c r="E24" s="50" t="s">
        <v>53</v>
      </c>
      <c r="F24" s="50" t="s">
        <v>54</v>
      </c>
      <c r="G24" s="4"/>
      <c r="H24" s="5"/>
    </row>
    <row r="25" s="1" customFormat="1" ht="14.25" spans="4:8">
      <c r="D25" s="49">
        <v>4</v>
      </c>
      <c r="E25" s="51" t="s">
        <v>55</v>
      </c>
      <c r="F25" s="50" t="s">
        <v>56</v>
      </c>
      <c r="G25" s="4"/>
      <c r="H25" s="5"/>
    </row>
    <row r="26" s="1" customFormat="1" ht="14.25" spans="4:8">
      <c r="D26" s="49">
        <v>3</v>
      </c>
      <c r="E26" s="51" t="s">
        <v>57</v>
      </c>
      <c r="F26" s="50" t="s">
        <v>58</v>
      </c>
      <c r="G26" s="4"/>
      <c r="H26" s="5"/>
    </row>
    <row r="27" s="1" customFormat="1" ht="14.25" spans="4:8">
      <c r="D27" s="49">
        <v>2</v>
      </c>
      <c r="E27" s="51" t="s">
        <v>59</v>
      </c>
      <c r="F27" s="50" t="s">
        <v>60</v>
      </c>
      <c r="G27" s="4"/>
      <c r="H27" s="5"/>
    </row>
    <row r="28" s="1" customFormat="1" ht="14.25" spans="4:8">
      <c r="D28" s="49">
        <v>1</v>
      </c>
      <c r="E28" s="51" t="s">
        <v>61</v>
      </c>
      <c r="F28" s="50" t="s">
        <v>62</v>
      </c>
      <c r="G28" s="4"/>
      <c r="H28" s="5"/>
    </row>
  </sheetData>
  <mergeCells count="5">
    <mergeCell ref="B9:I9"/>
    <mergeCell ref="A16:C16"/>
    <mergeCell ref="D17:E17"/>
    <mergeCell ref="D20:E20"/>
    <mergeCell ref="B1:I2"/>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I29"/>
  <sheetViews>
    <sheetView topLeftCell="A13" workbookViewId="0">
      <selection activeCell="K13" sqref="K13"/>
    </sheetView>
  </sheetViews>
  <sheetFormatPr defaultColWidth="9.10833333333333" defaultRowHeight="12.75"/>
  <cols>
    <col min="1" max="1" width="3.33333333333333" style="1" customWidth="1"/>
    <col min="2" max="2" width="26" style="1" customWidth="1"/>
    <col min="3" max="3" width="51.2166666666667" style="1" customWidth="1"/>
    <col min="4" max="4" width="23.2166666666667" style="4" customWidth="1"/>
    <col min="5" max="5" width="21.775" style="1" customWidth="1"/>
    <col min="6" max="6" width="22" style="1" customWidth="1"/>
    <col min="7" max="7" width="24.8833333333333" style="4" customWidth="1"/>
    <col min="8" max="8" width="27.6666666666667" style="5" customWidth="1"/>
    <col min="9" max="9" width="61.2416666666667" style="1" customWidth="1"/>
    <col min="10" max="10" width="9.10833333333333" style="1"/>
    <col min="11" max="11" width="45.775" style="1" customWidth="1"/>
    <col min="12" max="16384" width="9.10833333333333" style="1"/>
  </cols>
  <sheetData>
    <row r="1" s="54" customFormat="1" customHeight="1" spans="2:9">
      <c r="B1" s="6" t="s">
        <v>0</v>
      </c>
      <c r="C1" s="6"/>
      <c r="D1" s="6"/>
      <c r="E1" s="6"/>
      <c r="F1" s="6"/>
      <c r="G1" s="6"/>
      <c r="H1" s="6"/>
      <c r="I1" s="6"/>
    </row>
    <row r="2" s="54" customFormat="1" ht="21.75" customHeight="1" spans="1:9">
      <c r="A2" s="83"/>
      <c r="B2" s="6"/>
      <c r="C2" s="6"/>
      <c r="D2" s="6"/>
      <c r="E2" s="6"/>
      <c r="F2" s="6"/>
      <c r="G2" s="6"/>
      <c r="H2" s="6"/>
      <c r="I2" s="6"/>
    </row>
    <row r="3" s="54" customFormat="1" ht="15" customHeight="1" spans="4:8">
      <c r="D3" s="84"/>
      <c r="E3" s="84"/>
      <c r="G3" s="85"/>
      <c r="H3" s="86"/>
    </row>
    <row r="4" s="54" customFormat="1" ht="15" customHeight="1" spans="2:8">
      <c r="B4" s="7" t="s">
        <v>1</v>
      </c>
      <c r="C4" s="87" t="s">
        <v>98</v>
      </c>
      <c r="D4" s="47"/>
      <c r="E4" s="47"/>
      <c r="F4" s="54" t="s">
        <v>72</v>
      </c>
      <c r="G4" s="85" t="s">
        <v>73</v>
      </c>
      <c r="H4" s="86"/>
    </row>
    <row r="5" s="54" customFormat="1" ht="15" customHeight="1" spans="2:8">
      <c r="B5" s="7" t="s">
        <v>3</v>
      </c>
      <c r="C5" s="87" t="s">
        <v>74</v>
      </c>
      <c r="D5" s="47"/>
      <c r="E5" s="47"/>
      <c r="G5" s="85"/>
      <c r="H5" s="86"/>
    </row>
    <row r="6" s="54" customFormat="1" ht="15" customHeight="1" spans="2:8">
      <c r="B6" s="7" t="s">
        <v>5</v>
      </c>
      <c r="C6" s="87" t="s">
        <v>75</v>
      </c>
      <c r="D6" s="47"/>
      <c r="E6" s="47"/>
      <c r="G6" s="85"/>
      <c r="H6" s="86"/>
    </row>
    <row r="7" s="54" customFormat="1" ht="15" customHeight="1" spans="2:8">
      <c r="B7" s="7" t="s">
        <v>7</v>
      </c>
      <c r="C7" s="87" t="s">
        <v>99</v>
      </c>
      <c r="D7" s="47"/>
      <c r="E7" s="47"/>
      <c r="G7" s="85"/>
      <c r="H7" s="86"/>
    </row>
    <row r="8" s="54" customFormat="1" ht="15" customHeight="1" spans="2:9">
      <c r="B8" s="7" t="s">
        <v>9</v>
      </c>
      <c r="C8" s="130" t="s">
        <v>100</v>
      </c>
      <c r="D8" s="84"/>
      <c r="E8" s="84"/>
      <c r="G8" s="85"/>
      <c r="H8" s="86"/>
      <c r="I8" s="123"/>
    </row>
    <row r="9" s="2" customFormat="1" ht="33.75" customHeight="1" spans="1:61">
      <c r="A9" s="53"/>
      <c r="B9" s="90"/>
      <c r="C9" s="90"/>
      <c r="D9" s="90"/>
      <c r="E9" s="90"/>
      <c r="F9" s="90"/>
      <c r="G9" s="90"/>
      <c r="H9" s="90"/>
      <c r="I9" s="90"/>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row>
    <row r="10" s="2" customFormat="1" ht="96.6" customHeight="1" spans="1:61">
      <c r="A10" s="91"/>
      <c r="B10" s="14" t="s">
        <v>11</v>
      </c>
      <c r="C10" s="14" t="s">
        <v>12</v>
      </c>
      <c r="D10" s="14" t="s">
        <v>77</v>
      </c>
      <c r="E10" s="14" t="s">
        <v>14</v>
      </c>
      <c r="F10" s="14" t="s">
        <v>15</v>
      </c>
      <c r="G10" s="15" t="s">
        <v>16</v>
      </c>
      <c r="H10" s="15" t="s">
        <v>17</v>
      </c>
      <c r="I10" s="14" t="s">
        <v>18</v>
      </c>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row>
    <row r="11" s="2" customFormat="1" ht="89" customHeight="1" spans="1:61">
      <c r="A11" s="92"/>
      <c r="B11" s="93" t="s">
        <v>78</v>
      </c>
      <c r="C11" s="57" t="s">
        <v>101</v>
      </c>
      <c r="D11" s="95">
        <v>1</v>
      </c>
      <c r="E11" s="100"/>
      <c r="F11" s="96">
        <v>35</v>
      </c>
      <c r="G11" s="96">
        <v>0</v>
      </c>
      <c r="H11" s="96">
        <f t="shared" ref="H11:H16" si="0">(F11*G11)/5</f>
        <v>0</v>
      </c>
      <c r="I11" s="125" t="s">
        <v>80</v>
      </c>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row>
    <row r="12" s="2" customFormat="1" ht="94.2" customHeight="1" spans="1:61">
      <c r="A12" s="92"/>
      <c r="B12" s="97" t="s">
        <v>102</v>
      </c>
      <c r="C12" s="97" t="s">
        <v>103</v>
      </c>
      <c r="D12" s="95">
        <v>1</v>
      </c>
      <c r="E12" s="95"/>
      <c r="F12" s="96">
        <v>20</v>
      </c>
      <c r="G12" s="96">
        <v>0</v>
      </c>
      <c r="H12" s="96">
        <f t="shared" si="0"/>
        <v>0</v>
      </c>
      <c r="I12" s="125" t="s">
        <v>83</v>
      </c>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row>
    <row r="13" s="53" customFormat="1" ht="89" customHeight="1" spans="1:9">
      <c r="A13" s="92"/>
      <c r="B13" s="97" t="s">
        <v>84</v>
      </c>
      <c r="C13" s="57" t="s">
        <v>104</v>
      </c>
      <c r="D13" s="95">
        <v>1</v>
      </c>
      <c r="E13" s="95"/>
      <c r="F13" s="96">
        <v>10</v>
      </c>
      <c r="G13" s="96">
        <v>0</v>
      </c>
      <c r="H13" s="96">
        <f t="shared" si="0"/>
        <v>0</v>
      </c>
      <c r="I13" s="125" t="s">
        <v>105</v>
      </c>
    </row>
    <row r="14" s="82" customFormat="1" ht="97.2" customHeight="1" spans="1:9">
      <c r="A14" s="98"/>
      <c r="B14" s="97" t="s">
        <v>106</v>
      </c>
      <c r="C14" s="57" t="s">
        <v>107</v>
      </c>
      <c r="D14" s="99">
        <v>1</v>
      </c>
      <c r="E14" s="95"/>
      <c r="F14" s="101">
        <v>15</v>
      </c>
      <c r="G14" s="96">
        <v>0</v>
      </c>
      <c r="H14" s="96">
        <f t="shared" si="0"/>
        <v>0</v>
      </c>
      <c r="I14" s="125" t="s">
        <v>108</v>
      </c>
    </row>
    <row r="15" s="52" customFormat="1" ht="89" customHeight="1" spans="1:9">
      <c r="A15" s="102"/>
      <c r="B15" s="93" t="s">
        <v>87</v>
      </c>
      <c r="C15" s="57" t="s">
        <v>88</v>
      </c>
      <c r="D15" s="95">
        <v>1</v>
      </c>
      <c r="E15" s="100"/>
      <c r="F15" s="96">
        <v>10</v>
      </c>
      <c r="G15" s="96">
        <v>0</v>
      </c>
      <c r="H15" s="96">
        <f t="shared" si="0"/>
        <v>0</v>
      </c>
      <c r="I15" s="125" t="s">
        <v>109</v>
      </c>
    </row>
    <row r="16" s="52" customFormat="1" ht="97.8" customHeight="1" spans="1:9">
      <c r="A16" s="102"/>
      <c r="B16" s="93" t="s">
        <v>90</v>
      </c>
      <c r="C16" s="57" t="s">
        <v>91</v>
      </c>
      <c r="D16" s="95">
        <v>1</v>
      </c>
      <c r="E16" s="95"/>
      <c r="F16" s="96">
        <v>10</v>
      </c>
      <c r="G16" s="96">
        <v>0</v>
      </c>
      <c r="H16" s="96">
        <f t="shared" si="0"/>
        <v>0</v>
      </c>
      <c r="I16" s="126" t="s">
        <v>92</v>
      </c>
    </row>
    <row r="17" s="53" customFormat="1" ht="29.25" customHeight="1" spans="1:58">
      <c r="A17" s="105" t="s">
        <v>43</v>
      </c>
      <c r="B17" s="106"/>
      <c r="C17" s="107"/>
      <c r="D17" s="108"/>
      <c r="E17" s="96"/>
      <c r="F17" s="25">
        <f>SUM(F11:F16)</f>
        <v>100</v>
      </c>
      <c r="G17" s="109"/>
      <c r="H17" s="110" cm="1">
        <f t="array" ref="H17">SUM(H11:H16/100*5)</f>
        <v>0</v>
      </c>
      <c r="I17" s="54"/>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row>
    <row r="18" s="1" customFormat="1" ht="18.75" customHeight="1" spans="1:9">
      <c r="A18" s="54"/>
      <c r="B18" s="111"/>
      <c r="C18" s="111"/>
      <c r="D18" s="91"/>
      <c r="E18" s="91"/>
      <c r="F18" s="54"/>
      <c r="G18" s="112"/>
      <c r="H18" s="113">
        <f>H17*100/5</f>
        <v>0</v>
      </c>
      <c r="I18" s="85"/>
    </row>
    <row r="19" s="1" customFormat="1" ht="20.1" customHeight="1" spans="1:9">
      <c r="A19" s="54"/>
      <c r="B19" s="78" t="s">
        <v>45</v>
      </c>
      <c r="C19" s="54"/>
      <c r="D19" s="78" t="s">
        <v>47</v>
      </c>
      <c r="E19" s="54"/>
      <c r="F19" s="35" t="s">
        <v>46</v>
      </c>
      <c r="G19" s="114"/>
      <c r="H19" s="115"/>
      <c r="I19" s="127" t="s">
        <v>48</v>
      </c>
    </row>
    <row r="20" s="1" customFormat="1" spans="4:8">
      <c r="D20" s="116"/>
      <c r="G20" s="4"/>
      <c r="H20" s="5"/>
    </row>
    <row r="21" customFormat="1" ht="15" spans="1:9">
      <c r="A21" s="1"/>
      <c r="B21" s="117"/>
      <c r="C21" s="42"/>
      <c r="D21" s="41"/>
      <c r="E21" s="41"/>
      <c r="F21" s="3"/>
      <c r="G21" s="44"/>
      <c r="H21" s="45"/>
      <c r="I21" s="3"/>
    </row>
    <row r="22" s="1" customFormat="1" ht="15" spans="1:9">
      <c r="A22" s="3"/>
      <c r="B22" s="3"/>
      <c r="C22" s="3"/>
      <c r="D22" s="44"/>
      <c r="E22" s="118"/>
      <c r="F22" s="3"/>
      <c r="G22" s="44"/>
      <c r="H22" s="45"/>
      <c r="I22" s="118"/>
    </row>
    <row r="23" s="1" customFormat="1" ht="16.5" spans="1:9">
      <c r="A23" s="3"/>
      <c r="B23" s="3"/>
      <c r="C23" s="119"/>
      <c r="D23" s="46" t="s">
        <v>49</v>
      </c>
      <c r="E23" s="46" t="s">
        <v>50</v>
      </c>
      <c r="F23" s="47"/>
      <c r="G23" s="118"/>
      <c r="H23" s="120"/>
      <c r="I23" s="118"/>
    </row>
    <row r="24" s="1" customFormat="1" ht="13.5" customHeight="1" spans="2:8">
      <c r="B24" s="121"/>
      <c r="C24" s="42"/>
      <c r="D24" s="46" t="s">
        <v>51</v>
      </c>
      <c r="E24" s="48" t="s">
        <v>52</v>
      </c>
      <c r="F24" s="48" t="s">
        <v>52</v>
      </c>
      <c r="G24" s="122"/>
      <c r="H24" s="5"/>
    </row>
    <row r="25" s="1" customFormat="1" ht="14.25" spans="3:8">
      <c r="C25" s="42"/>
      <c r="D25" s="49">
        <v>5</v>
      </c>
      <c r="E25" s="50" t="s">
        <v>53</v>
      </c>
      <c r="F25" s="50" t="s">
        <v>54</v>
      </c>
      <c r="G25" s="4"/>
      <c r="H25" s="5"/>
    </row>
    <row r="26" s="1" customFormat="1" ht="14.25" spans="4:8">
      <c r="D26" s="49">
        <v>4</v>
      </c>
      <c r="E26" s="51" t="s">
        <v>55</v>
      </c>
      <c r="F26" s="50" t="s">
        <v>56</v>
      </c>
      <c r="G26" s="4"/>
      <c r="H26" s="5"/>
    </row>
    <row r="27" s="1" customFormat="1" ht="14.25" spans="4:8">
      <c r="D27" s="49">
        <v>3</v>
      </c>
      <c r="E27" s="51" t="s">
        <v>57</v>
      </c>
      <c r="F27" s="50" t="s">
        <v>58</v>
      </c>
      <c r="G27" s="4"/>
      <c r="H27" s="5"/>
    </row>
    <row r="28" s="1" customFormat="1" ht="14.25" spans="4:8">
      <c r="D28" s="49">
        <v>2</v>
      </c>
      <c r="E28" s="51" t="s">
        <v>59</v>
      </c>
      <c r="F28" s="50" t="s">
        <v>60</v>
      </c>
      <c r="G28" s="4"/>
      <c r="H28" s="5"/>
    </row>
    <row r="29" s="1" customFormat="1" ht="14.25" spans="4:8">
      <c r="D29" s="49">
        <v>1</v>
      </c>
      <c r="E29" s="51" t="s">
        <v>61</v>
      </c>
      <c r="F29" s="50" t="s">
        <v>62</v>
      </c>
      <c r="G29" s="4"/>
      <c r="H29" s="5"/>
    </row>
  </sheetData>
  <mergeCells count="5">
    <mergeCell ref="B9:I9"/>
    <mergeCell ref="A17:C17"/>
    <mergeCell ref="D18:E18"/>
    <mergeCell ref="D21:E21"/>
    <mergeCell ref="B1:I2"/>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I28"/>
  <sheetViews>
    <sheetView topLeftCell="A10" workbookViewId="0">
      <selection activeCell="I14" sqref="I14"/>
    </sheetView>
  </sheetViews>
  <sheetFormatPr defaultColWidth="9.10833333333333" defaultRowHeight="12.75"/>
  <cols>
    <col min="1" max="1" width="3.33333333333333" style="1" customWidth="1"/>
    <col min="2" max="2" width="26" style="1" customWidth="1"/>
    <col min="3" max="3" width="51.2166666666667" style="1" customWidth="1"/>
    <col min="4" max="4" width="22.25" style="4" customWidth="1"/>
    <col min="5" max="5" width="21.775" style="1" customWidth="1"/>
    <col min="6" max="6" width="22" style="1" customWidth="1"/>
    <col min="7" max="7" width="24.8833333333333" style="4" customWidth="1"/>
    <col min="8" max="8" width="27.6666666666667" style="5" customWidth="1"/>
    <col min="9" max="9" width="61.6583333333333" style="1" customWidth="1"/>
    <col min="10" max="10" width="9.10833333333333" style="1"/>
    <col min="11" max="11" width="45.775" style="1" customWidth="1"/>
    <col min="12" max="16384" width="9.10833333333333" style="1"/>
  </cols>
  <sheetData>
    <row r="1" s="54" customFormat="1" customHeight="1" spans="2:9">
      <c r="B1" s="6" t="s">
        <v>0</v>
      </c>
      <c r="C1" s="6"/>
      <c r="D1" s="6"/>
      <c r="E1" s="6"/>
      <c r="F1" s="6"/>
      <c r="G1" s="6"/>
      <c r="H1" s="6"/>
      <c r="I1" s="6"/>
    </row>
    <row r="2" s="54" customFormat="1" ht="21.75" customHeight="1" spans="1:9">
      <c r="A2" s="83"/>
      <c r="B2" s="6"/>
      <c r="C2" s="6"/>
      <c r="D2" s="6"/>
      <c r="E2" s="6"/>
      <c r="F2" s="6"/>
      <c r="G2" s="6"/>
      <c r="H2" s="6"/>
      <c r="I2" s="6"/>
    </row>
    <row r="3" s="54" customFormat="1" ht="15" customHeight="1" spans="4:8">
      <c r="D3" s="84"/>
      <c r="E3" s="84"/>
      <c r="G3" s="85"/>
      <c r="H3" s="86"/>
    </row>
    <row r="4" s="54" customFormat="1" ht="15" customHeight="1" spans="2:8">
      <c r="B4" s="7" t="s">
        <v>1</v>
      </c>
      <c r="C4" s="87"/>
      <c r="D4" s="47"/>
      <c r="E4" s="47"/>
      <c r="F4" s="54" t="s">
        <v>72</v>
      </c>
      <c r="G4" s="85" t="s">
        <v>73</v>
      </c>
      <c r="H4" s="86"/>
    </row>
    <row r="5" s="54" customFormat="1" ht="15" customHeight="1" spans="2:8">
      <c r="B5" s="7" t="s">
        <v>3</v>
      </c>
      <c r="C5" s="87" t="s">
        <v>74</v>
      </c>
      <c r="D5" s="47"/>
      <c r="E5" s="47"/>
      <c r="G5" s="85"/>
      <c r="H5" s="86"/>
    </row>
    <row r="6" s="54" customFormat="1" ht="15" customHeight="1" spans="2:8">
      <c r="B6" s="7" t="s">
        <v>5</v>
      </c>
      <c r="C6" s="87" t="s">
        <v>75</v>
      </c>
      <c r="D6" s="47"/>
      <c r="E6" s="47"/>
      <c r="G6" s="85"/>
      <c r="H6" s="86"/>
    </row>
    <row r="7" s="54" customFormat="1" ht="15" customHeight="1" spans="2:8">
      <c r="B7" s="7" t="s">
        <v>7</v>
      </c>
      <c r="C7" s="88" t="s">
        <v>76</v>
      </c>
      <c r="D7" s="47"/>
      <c r="E7" s="47"/>
      <c r="G7" s="85"/>
      <c r="H7" s="86"/>
    </row>
    <row r="8" s="54" customFormat="1" ht="15" customHeight="1" spans="2:9">
      <c r="B8" s="89" t="s">
        <v>9</v>
      </c>
      <c r="C8" s="12" t="s">
        <v>10</v>
      </c>
      <c r="D8" s="84"/>
      <c r="E8" s="84"/>
      <c r="G8" s="85"/>
      <c r="H8" s="86"/>
      <c r="I8" s="123"/>
    </row>
    <row r="9" s="2" customFormat="1" ht="33.75" customHeight="1" spans="1:61">
      <c r="A9" s="53"/>
      <c r="B9" s="90"/>
      <c r="C9" s="90"/>
      <c r="D9" s="90"/>
      <c r="E9" s="90"/>
      <c r="F9" s="90"/>
      <c r="G9" s="90"/>
      <c r="H9" s="90"/>
      <c r="I9" s="90"/>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row>
    <row r="10" s="2" customFormat="1" ht="96.6" customHeight="1" spans="1:61">
      <c r="A10" s="91"/>
      <c r="B10" s="14" t="s">
        <v>11</v>
      </c>
      <c r="C10" s="14" t="s">
        <v>12</v>
      </c>
      <c r="D10" s="14" t="s">
        <v>77</v>
      </c>
      <c r="E10" s="14" t="s">
        <v>14</v>
      </c>
      <c r="F10" s="14" t="s">
        <v>15</v>
      </c>
      <c r="G10" s="15" t="s">
        <v>16</v>
      </c>
      <c r="H10" s="15" t="s">
        <v>17</v>
      </c>
      <c r="I10" s="14" t="s">
        <v>18</v>
      </c>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row>
    <row r="11" s="2" customFormat="1" ht="71" customHeight="1" spans="1:61">
      <c r="A11" s="92"/>
      <c r="B11" s="128" t="s">
        <v>78</v>
      </c>
      <c r="C11" s="94" t="s">
        <v>110</v>
      </c>
      <c r="D11" s="95">
        <v>1</v>
      </c>
      <c r="E11" s="95">
        <v>0</v>
      </c>
      <c r="F11" s="101">
        <v>0</v>
      </c>
      <c r="G11" s="101">
        <v>0</v>
      </c>
      <c r="H11" s="96">
        <f t="shared" ref="H11:H15" si="0">(F11*G11)/5</f>
        <v>0</v>
      </c>
      <c r="I11" s="124" t="s">
        <v>80</v>
      </c>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row>
    <row r="12" s="2" customFormat="1" ht="69" customHeight="1" spans="1:61">
      <c r="A12" s="92"/>
      <c r="B12" s="103" t="s">
        <v>81</v>
      </c>
      <c r="C12" s="104" t="s">
        <v>82</v>
      </c>
      <c r="D12" s="95">
        <v>1</v>
      </c>
      <c r="E12" s="95">
        <v>0</v>
      </c>
      <c r="F12" s="101">
        <v>0</v>
      </c>
      <c r="G12" s="96">
        <v>0</v>
      </c>
      <c r="H12" s="96">
        <f t="shared" si="0"/>
        <v>0</v>
      </c>
      <c r="I12" s="125" t="s">
        <v>83</v>
      </c>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row>
    <row r="13" s="53" customFormat="1" ht="85" customHeight="1" spans="1:9">
      <c r="A13" s="92"/>
      <c r="B13" s="97" t="s">
        <v>84</v>
      </c>
      <c r="C13" s="57" t="s">
        <v>111</v>
      </c>
      <c r="D13" s="95">
        <v>1</v>
      </c>
      <c r="E13" s="95">
        <v>0</v>
      </c>
      <c r="F13" s="96">
        <v>0</v>
      </c>
      <c r="G13" s="96">
        <v>0</v>
      </c>
      <c r="H13" s="96">
        <f t="shared" si="0"/>
        <v>0</v>
      </c>
      <c r="I13" s="125" t="s">
        <v>86</v>
      </c>
    </row>
    <row r="14" s="82" customFormat="1" ht="88" customHeight="1" spans="1:9">
      <c r="A14" s="98"/>
      <c r="B14" s="103" t="s">
        <v>87</v>
      </c>
      <c r="C14" s="104" t="s">
        <v>88</v>
      </c>
      <c r="D14" s="99">
        <v>1</v>
      </c>
      <c r="E14" s="100">
        <v>0</v>
      </c>
      <c r="F14" s="101">
        <v>0</v>
      </c>
      <c r="G14" s="96">
        <v>0</v>
      </c>
      <c r="H14" s="96">
        <f t="shared" si="0"/>
        <v>0</v>
      </c>
      <c r="I14" s="125" t="s">
        <v>112</v>
      </c>
    </row>
    <row r="15" s="52" customFormat="1" ht="89" customHeight="1" spans="1:9">
      <c r="A15" s="102"/>
      <c r="B15" s="128" t="s">
        <v>90</v>
      </c>
      <c r="C15" s="94" t="s">
        <v>91</v>
      </c>
      <c r="D15" s="95">
        <v>1</v>
      </c>
      <c r="E15" s="95">
        <v>0</v>
      </c>
      <c r="F15" s="101">
        <v>0</v>
      </c>
      <c r="G15" s="101">
        <v>0</v>
      </c>
      <c r="H15" s="96">
        <f t="shared" si="0"/>
        <v>0</v>
      </c>
      <c r="I15" s="129" t="s">
        <v>92</v>
      </c>
    </row>
    <row r="16" s="53" customFormat="1" ht="29.25" customHeight="1" spans="1:58">
      <c r="A16" s="105" t="s">
        <v>43</v>
      </c>
      <c r="B16" s="106"/>
      <c r="C16" s="107"/>
      <c r="D16" s="108"/>
      <c r="E16" s="96"/>
      <c r="F16" s="25">
        <f>SUM(F11:F15)</f>
        <v>0</v>
      </c>
      <c r="G16" s="109"/>
      <c r="H16" s="110" cm="1">
        <f t="array" ref="H16">SUM(H11:H15/100*5)</f>
        <v>0</v>
      </c>
      <c r="I16" s="54"/>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row>
    <row r="17" s="1" customFormat="1" ht="18.75" customHeight="1" spans="1:9">
      <c r="A17" s="54"/>
      <c r="B17" s="111"/>
      <c r="C17" s="111"/>
      <c r="D17" s="91"/>
      <c r="E17" s="91"/>
      <c r="F17" s="54"/>
      <c r="G17" s="112"/>
      <c r="H17" s="113">
        <f>H16*100/5</f>
        <v>0</v>
      </c>
      <c r="I17" s="85"/>
    </row>
    <row r="18" s="1" customFormat="1" ht="20.1" customHeight="1" spans="1:9">
      <c r="A18" s="54"/>
      <c r="B18" s="78" t="s">
        <v>45</v>
      </c>
      <c r="C18" s="54"/>
      <c r="D18" s="78" t="s">
        <v>47</v>
      </c>
      <c r="E18" s="54"/>
      <c r="F18" s="35" t="s">
        <v>46</v>
      </c>
      <c r="G18" s="114"/>
      <c r="H18" s="115"/>
      <c r="I18" s="127" t="s">
        <v>48</v>
      </c>
    </row>
    <row r="19" s="1" customFormat="1" spans="4:8">
      <c r="D19" s="116"/>
      <c r="G19" s="4"/>
      <c r="H19" s="5"/>
    </row>
    <row r="20" customFormat="1" ht="15" spans="1:9">
      <c r="A20" s="1"/>
      <c r="B20" s="117"/>
      <c r="C20" s="42"/>
      <c r="D20" s="41"/>
      <c r="E20" s="41"/>
      <c r="F20" s="3"/>
      <c r="G20" s="44"/>
      <c r="H20" s="45"/>
      <c r="I20" s="3"/>
    </row>
    <row r="21" s="1" customFormat="1" ht="15" spans="1:9">
      <c r="A21" s="3"/>
      <c r="B21" s="3"/>
      <c r="C21" s="3"/>
      <c r="D21" s="44"/>
      <c r="E21" s="118"/>
      <c r="F21" s="3"/>
      <c r="G21" s="44"/>
      <c r="H21" s="45"/>
      <c r="I21" s="118"/>
    </row>
    <row r="22" s="1" customFormat="1" ht="16.5" spans="1:9">
      <c r="A22" s="3"/>
      <c r="B22" s="3"/>
      <c r="C22" s="119"/>
      <c r="D22" s="46" t="s">
        <v>49</v>
      </c>
      <c r="E22" s="46" t="s">
        <v>50</v>
      </c>
      <c r="F22" s="47"/>
      <c r="G22" s="118"/>
      <c r="H22" s="120"/>
      <c r="I22" s="118"/>
    </row>
    <row r="23" s="1" customFormat="1" ht="13.5" customHeight="1" spans="2:8">
      <c r="B23" s="121"/>
      <c r="C23" s="42"/>
      <c r="D23" s="46" t="s">
        <v>51</v>
      </c>
      <c r="E23" s="48" t="s">
        <v>52</v>
      </c>
      <c r="F23" s="48" t="s">
        <v>52</v>
      </c>
      <c r="G23" s="122"/>
      <c r="H23" s="5"/>
    </row>
    <row r="24" s="1" customFormat="1" ht="14.25" spans="3:8">
      <c r="C24" s="42"/>
      <c r="D24" s="49">
        <v>5</v>
      </c>
      <c r="E24" s="50" t="s">
        <v>53</v>
      </c>
      <c r="F24" s="50" t="s">
        <v>54</v>
      </c>
      <c r="G24" s="4"/>
      <c r="H24" s="5"/>
    </row>
    <row r="25" s="1" customFormat="1" ht="14.25" spans="4:8">
      <c r="D25" s="49">
        <v>4</v>
      </c>
      <c r="E25" s="51" t="s">
        <v>55</v>
      </c>
      <c r="F25" s="50" t="s">
        <v>56</v>
      </c>
      <c r="G25" s="4"/>
      <c r="H25" s="5"/>
    </row>
    <row r="26" s="1" customFormat="1" ht="14.25" spans="4:8">
      <c r="D26" s="49">
        <v>3</v>
      </c>
      <c r="E26" s="51" t="s">
        <v>57</v>
      </c>
      <c r="F26" s="50" t="s">
        <v>58</v>
      </c>
      <c r="G26" s="4"/>
      <c r="H26" s="5"/>
    </row>
    <row r="27" s="1" customFormat="1" ht="14.25" spans="4:8">
      <c r="D27" s="49">
        <v>2</v>
      </c>
      <c r="E27" s="51" t="s">
        <v>59</v>
      </c>
      <c r="F27" s="50" t="s">
        <v>60</v>
      </c>
      <c r="G27" s="4"/>
      <c r="H27" s="5"/>
    </row>
    <row r="28" s="1" customFormat="1" ht="14.25" spans="4:8">
      <c r="D28" s="49">
        <v>1</v>
      </c>
      <c r="E28" s="51" t="s">
        <v>61</v>
      </c>
      <c r="F28" s="50" t="s">
        <v>62</v>
      </c>
      <c r="G28" s="4"/>
      <c r="H28" s="5"/>
    </row>
  </sheetData>
  <mergeCells count="5">
    <mergeCell ref="B9:I9"/>
    <mergeCell ref="A16:C16"/>
    <mergeCell ref="D17:E17"/>
    <mergeCell ref="D20:E20"/>
    <mergeCell ref="B1:I2"/>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I28"/>
  <sheetViews>
    <sheetView topLeftCell="B10" workbookViewId="0">
      <selection activeCell="E11" sqref="E11"/>
    </sheetView>
  </sheetViews>
  <sheetFormatPr defaultColWidth="9.10833333333333" defaultRowHeight="12.75"/>
  <cols>
    <col min="1" max="1" width="3.33333333333333" style="1" customWidth="1"/>
    <col min="2" max="2" width="26" style="1" customWidth="1"/>
    <col min="3" max="3" width="51.2166666666667" style="1" customWidth="1"/>
    <col min="4" max="4" width="23.2166666666667" style="4" customWidth="1"/>
    <col min="5" max="5" width="21.775" style="1" customWidth="1"/>
    <col min="6" max="6" width="22" style="1" customWidth="1"/>
    <col min="7" max="7" width="24.8833333333333" style="4" customWidth="1"/>
    <col min="8" max="8" width="27.6666666666667" style="5" customWidth="1"/>
    <col min="9" max="9" width="61.2416666666667" style="1" customWidth="1"/>
    <col min="10" max="10" width="9.10833333333333" style="1"/>
    <col min="11" max="11" width="45.775" style="1" customWidth="1"/>
    <col min="12" max="16384" width="9.10833333333333" style="1"/>
  </cols>
  <sheetData>
    <row r="1" s="54" customFormat="1" customHeight="1" spans="2:9">
      <c r="B1" s="6" t="s">
        <v>0</v>
      </c>
      <c r="C1" s="6"/>
      <c r="D1" s="6"/>
      <c r="E1" s="6"/>
      <c r="F1" s="6"/>
      <c r="G1" s="6"/>
      <c r="H1" s="6"/>
      <c r="I1" s="6"/>
    </row>
    <row r="2" s="54" customFormat="1" ht="21.75" customHeight="1" spans="1:9">
      <c r="A2" s="83"/>
      <c r="B2" s="6"/>
      <c r="C2" s="6"/>
      <c r="D2" s="6"/>
      <c r="E2" s="6"/>
      <c r="F2" s="6"/>
      <c r="G2" s="6"/>
      <c r="H2" s="6"/>
      <c r="I2" s="6"/>
    </row>
    <row r="3" s="54" customFormat="1" ht="15" customHeight="1" spans="4:8">
      <c r="D3" s="84"/>
      <c r="E3" s="84"/>
      <c r="G3" s="85"/>
      <c r="H3" s="86"/>
    </row>
    <row r="4" s="54" customFormat="1" ht="15" customHeight="1" spans="2:8">
      <c r="B4" s="7" t="s">
        <v>1</v>
      </c>
      <c r="C4" s="87" t="s">
        <v>113</v>
      </c>
      <c r="D4" s="47"/>
      <c r="E4" s="47"/>
      <c r="F4" s="54" t="s">
        <v>72</v>
      </c>
      <c r="G4" s="85" t="s">
        <v>73</v>
      </c>
      <c r="H4" s="86"/>
    </row>
    <row r="5" s="54" customFormat="1" ht="15" customHeight="1" spans="2:8">
      <c r="B5" s="7" t="s">
        <v>3</v>
      </c>
      <c r="C5" s="87" t="s">
        <v>114</v>
      </c>
      <c r="D5" s="47"/>
      <c r="E5" s="47"/>
      <c r="G5" s="85"/>
      <c r="H5" s="86"/>
    </row>
    <row r="6" s="54" customFormat="1" ht="15" customHeight="1" spans="2:8">
      <c r="B6" s="7" t="s">
        <v>5</v>
      </c>
      <c r="C6" s="87" t="s">
        <v>115</v>
      </c>
      <c r="D6" s="47"/>
      <c r="E6" s="47"/>
      <c r="G6" s="85"/>
      <c r="H6" s="86"/>
    </row>
    <row r="7" s="54" customFormat="1" ht="15" customHeight="1" spans="2:8">
      <c r="B7" s="7" t="s">
        <v>7</v>
      </c>
      <c r="C7" s="88" t="s">
        <v>76</v>
      </c>
      <c r="D7" s="47"/>
      <c r="E7" s="47"/>
      <c r="G7" s="85"/>
      <c r="H7" s="86"/>
    </row>
    <row r="8" s="54" customFormat="1" ht="15" customHeight="1" spans="2:9">
      <c r="B8" s="89" t="s">
        <v>9</v>
      </c>
      <c r="C8" s="12" t="s">
        <v>10</v>
      </c>
      <c r="D8" s="84"/>
      <c r="E8" s="84"/>
      <c r="G8" s="85"/>
      <c r="H8" s="86"/>
      <c r="I8" s="123"/>
    </row>
    <row r="9" s="2" customFormat="1" ht="33.75" customHeight="1" spans="1:61">
      <c r="A9" s="53"/>
      <c r="B9" s="90"/>
      <c r="C9" s="90"/>
      <c r="D9" s="90"/>
      <c r="E9" s="90"/>
      <c r="F9" s="90"/>
      <c r="G9" s="90"/>
      <c r="H9" s="90"/>
      <c r="I9" s="90"/>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row>
    <row r="10" s="2" customFormat="1" ht="96.6" customHeight="1" spans="1:61">
      <c r="A10" s="91"/>
      <c r="B10" s="14" t="s">
        <v>11</v>
      </c>
      <c r="C10" s="14" t="s">
        <v>12</v>
      </c>
      <c r="D10" s="14" t="s">
        <v>77</v>
      </c>
      <c r="E10" s="14" t="s">
        <v>14</v>
      </c>
      <c r="F10" s="14" t="s">
        <v>15</v>
      </c>
      <c r="G10" s="15" t="s">
        <v>16</v>
      </c>
      <c r="H10" s="15" t="s">
        <v>17</v>
      </c>
      <c r="I10" s="14" t="s">
        <v>18</v>
      </c>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row>
    <row r="11" s="2" customFormat="1" ht="96.6" customHeight="1" spans="1:61">
      <c r="A11" s="92"/>
      <c r="B11" s="93" t="s">
        <v>78</v>
      </c>
      <c r="C11" s="94" t="s">
        <v>116</v>
      </c>
      <c r="D11" s="95">
        <v>1</v>
      </c>
      <c r="E11" s="95"/>
      <c r="F11" s="96">
        <v>30</v>
      </c>
      <c r="G11" s="96">
        <v>0</v>
      </c>
      <c r="H11" s="96">
        <f t="shared" ref="H11:H15" si="0">(F11*G11)/5</f>
        <v>0</v>
      </c>
      <c r="I11" s="124" t="s">
        <v>117</v>
      </c>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row>
    <row r="12" s="2" customFormat="1" ht="94.2" customHeight="1" spans="1:61">
      <c r="A12" s="92"/>
      <c r="B12" s="93" t="s">
        <v>118</v>
      </c>
      <c r="C12" s="57" t="s">
        <v>119</v>
      </c>
      <c r="D12" s="95">
        <v>1</v>
      </c>
      <c r="E12" s="95"/>
      <c r="F12" s="96">
        <v>20</v>
      </c>
      <c r="G12" s="96">
        <v>0</v>
      </c>
      <c r="H12" s="96">
        <f t="shared" si="0"/>
        <v>0</v>
      </c>
      <c r="I12" s="125" t="s">
        <v>120</v>
      </c>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row>
    <row r="13" s="53" customFormat="1" ht="89" customHeight="1" spans="1:9">
      <c r="A13" s="92"/>
      <c r="B13" s="97" t="s">
        <v>121</v>
      </c>
      <c r="C13" s="57" t="s">
        <v>122</v>
      </c>
      <c r="D13" s="95">
        <v>1</v>
      </c>
      <c r="E13" s="95"/>
      <c r="F13" s="96">
        <v>20</v>
      </c>
      <c r="G13" s="96">
        <v>0</v>
      </c>
      <c r="H13" s="96">
        <f t="shared" si="0"/>
        <v>0</v>
      </c>
      <c r="I13" s="125" t="s">
        <v>123</v>
      </c>
    </row>
    <row r="14" s="82" customFormat="1" ht="97.2" customHeight="1" spans="1:9">
      <c r="A14" s="98"/>
      <c r="B14" s="97" t="s">
        <v>124</v>
      </c>
      <c r="C14" s="57" t="s">
        <v>125</v>
      </c>
      <c r="D14" s="99">
        <v>1</v>
      </c>
      <c r="E14" s="100"/>
      <c r="F14" s="101">
        <v>15</v>
      </c>
      <c r="G14" s="96">
        <v>0</v>
      </c>
      <c r="H14" s="96">
        <f t="shared" si="0"/>
        <v>0</v>
      </c>
      <c r="I14" s="125" t="s">
        <v>126</v>
      </c>
    </row>
    <row r="15" s="52" customFormat="1" ht="97.8" customHeight="1" spans="1:9">
      <c r="A15" s="102"/>
      <c r="B15" s="103" t="s">
        <v>90</v>
      </c>
      <c r="C15" s="104" t="s">
        <v>97</v>
      </c>
      <c r="D15" s="95">
        <v>1</v>
      </c>
      <c r="E15" s="95"/>
      <c r="F15" s="96">
        <v>15</v>
      </c>
      <c r="G15" s="96">
        <v>0</v>
      </c>
      <c r="H15" s="96">
        <f t="shared" si="0"/>
        <v>0</v>
      </c>
      <c r="I15" s="126" t="s">
        <v>127</v>
      </c>
    </row>
    <row r="16" s="53" customFormat="1" ht="29.25" customHeight="1" spans="1:58">
      <c r="A16" s="105" t="s">
        <v>43</v>
      </c>
      <c r="B16" s="106"/>
      <c r="C16" s="107"/>
      <c r="D16" s="108"/>
      <c r="E16" s="96"/>
      <c r="F16" s="25">
        <f>SUM(F11:F15)</f>
        <v>100</v>
      </c>
      <c r="G16" s="109"/>
      <c r="H16" s="110" cm="1">
        <f t="array" ref="H16">SUM(H11:H15/100*5)</f>
        <v>0</v>
      </c>
      <c r="I16" s="54"/>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row>
    <row r="17" s="1" customFormat="1" ht="18.75" customHeight="1" spans="1:9">
      <c r="A17" s="54"/>
      <c r="B17" s="111"/>
      <c r="C17" s="111"/>
      <c r="D17" s="91"/>
      <c r="E17" s="91"/>
      <c r="F17" s="54"/>
      <c r="G17" s="112"/>
      <c r="H17" s="113">
        <f>H16*100/5</f>
        <v>0</v>
      </c>
      <c r="I17" s="85"/>
    </row>
    <row r="18" s="1" customFormat="1" ht="20.1" customHeight="1" spans="1:9">
      <c r="A18" s="54"/>
      <c r="B18" s="78" t="s">
        <v>45</v>
      </c>
      <c r="C18" s="54"/>
      <c r="D18" s="78" t="s">
        <v>47</v>
      </c>
      <c r="E18" s="54"/>
      <c r="F18" s="35" t="s">
        <v>46</v>
      </c>
      <c r="G18" s="114"/>
      <c r="H18" s="115"/>
      <c r="I18" s="127" t="s">
        <v>48</v>
      </c>
    </row>
    <row r="19" s="1" customFormat="1" spans="4:8">
      <c r="D19" s="116"/>
      <c r="G19" s="4"/>
      <c r="H19" s="5"/>
    </row>
    <row r="20" customFormat="1" ht="15" spans="1:9">
      <c r="A20" s="1"/>
      <c r="B20" s="117"/>
      <c r="C20" s="42"/>
      <c r="D20" s="41"/>
      <c r="E20" s="41"/>
      <c r="F20" s="3"/>
      <c r="G20" s="44"/>
      <c r="H20" s="45"/>
      <c r="I20" s="3"/>
    </row>
    <row r="21" s="1" customFormat="1" ht="15" spans="1:9">
      <c r="A21" s="3"/>
      <c r="B21" s="3"/>
      <c r="C21" s="3"/>
      <c r="D21" s="44"/>
      <c r="E21" s="118"/>
      <c r="F21" s="3"/>
      <c r="G21" s="44"/>
      <c r="H21" s="45"/>
      <c r="I21" s="118"/>
    </row>
    <row r="22" s="1" customFormat="1" ht="16.5" spans="1:9">
      <c r="A22" s="3"/>
      <c r="B22" s="3"/>
      <c r="C22" s="119"/>
      <c r="D22" s="46" t="s">
        <v>49</v>
      </c>
      <c r="E22" s="46" t="s">
        <v>50</v>
      </c>
      <c r="F22" s="47"/>
      <c r="G22" s="118"/>
      <c r="H22" s="120"/>
      <c r="I22" s="118"/>
    </row>
    <row r="23" s="1" customFormat="1" ht="13.5" customHeight="1" spans="2:8">
      <c r="B23" s="121"/>
      <c r="C23" s="42"/>
      <c r="D23" s="46" t="s">
        <v>51</v>
      </c>
      <c r="E23" s="48" t="s">
        <v>52</v>
      </c>
      <c r="F23" s="48" t="s">
        <v>52</v>
      </c>
      <c r="G23" s="122"/>
      <c r="H23" s="5"/>
    </row>
    <row r="24" s="1" customFormat="1" ht="14.25" spans="3:8">
      <c r="C24" s="42"/>
      <c r="D24" s="49">
        <v>5</v>
      </c>
      <c r="E24" s="50" t="s">
        <v>53</v>
      </c>
      <c r="F24" s="50" t="s">
        <v>54</v>
      </c>
      <c r="G24" s="4"/>
      <c r="H24" s="5"/>
    </row>
    <row r="25" s="1" customFormat="1" ht="14.25" spans="4:8">
      <c r="D25" s="49">
        <v>4</v>
      </c>
      <c r="E25" s="51" t="s">
        <v>55</v>
      </c>
      <c r="F25" s="50" t="s">
        <v>56</v>
      </c>
      <c r="G25" s="4"/>
      <c r="H25" s="5"/>
    </row>
    <row r="26" s="1" customFormat="1" ht="14.25" spans="4:8">
      <c r="D26" s="49">
        <v>3</v>
      </c>
      <c r="E26" s="51" t="s">
        <v>57</v>
      </c>
      <c r="F26" s="50" t="s">
        <v>58</v>
      </c>
      <c r="G26" s="4"/>
      <c r="H26" s="5"/>
    </row>
    <row r="27" s="1" customFormat="1" ht="14.25" spans="4:8">
      <c r="D27" s="49">
        <v>2</v>
      </c>
      <c r="E27" s="51" t="s">
        <v>59</v>
      </c>
      <c r="F27" s="50" t="s">
        <v>60</v>
      </c>
      <c r="G27" s="4"/>
      <c r="H27" s="5"/>
    </row>
    <row r="28" s="1" customFormat="1" ht="14.25" spans="4:8">
      <c r="D28" s="49">
        <v>1</v>
      </c>
      <c r="E28" s="51" t="s">
        <v>61</v>
      </c>
      <c r="F28" s="50" t="s">
        <v>62</v>
      </c>
      <c r="G28" s="4"/>
      <c r="H28" s="5"/>
    </row>
  </sheetData>
  <mergeCells count="5">
    <mergeCell ref="B9:I9"/>
    <mergeCell ref="A16:C16"/>
    <mergeCell ref="D17:E17"/>
    <mergeCell ref="D20:E20"/>
    <mergeCell ref="B1:I2"/>
  </mergeCell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F41"/>
  <sheetViews>
    <sheetView topLeftCell="A14" workbookViewId="0">
      <selection activeCell="B6" sqref="B6"/>
    </sheetView>
  </sheetViews>
  <sheetFormatPr defaultColWidth="9.14166666666667" defaultRowHeight="12.75"/>
  <cols>
    <col min="1" max="1" width="44.875" style="1" customWidth="1"/>
    <col min="2" max="2" width="58.75" style="1" customWidth="1"/>
    <col min="3" max="3" width="21.4083333333333" style="4" customWidth="1"/>
    <col min="4" max="4" width="20.775" style="4" customWidth="1"/>
    <col min="5" max="5" width="23.9" style="4" customWidth="1"/>
    <col min="6" max="6" width="22.8166666666667" style="5" customWidth="1"/>
    <col min="7" max="7" width="29.375" style="5" customWidth="1"/>
    <col min="8" max="8" width="58.9" style="1" customWidth="1"/>
    <col min="9" max="9" width="11.7083333333333" style="1" customWidth="1"/>
    <col min="10" max="16384" width="9.14166666666667" style="1"/>
  </cols>
  <sheetData>
    <row r="1" s="1" customFormat="1" ht="22.5" customHeight="1" spans="1:8">
      <c r="A1" s="6" t="s">
        <v>0</v>
      </c>
      <c r="B1" s="6"/>
      <c r="C1" s="6"/>
      <c r="D1" s="6"/>
      <c r="E1" s="6"/>
      <c r="F1" s="6"/>
      <c r="G1" s="6"/>
      <c r="H1" s="6"/>
    </row>
    <row r="2" s="1" customFormat="1" ht="19" customHeight="1" spans="1:8">
      <c r="A2" s="6"/>
      <c r="B2" s="6"/>
      <c r="C2" s="6"/>
      <c r="D2" s="6"/>
      <c r="E2" s="6"/>
      <c r="F2" s="6"/>
      <c r="G2" s="6"/>
      <c r="H2" s="6"/>
    </row>
    <row r="3" s="1" customFormat="1" ht="13.5" customHeight="1" spans="1:8">
      <c r="A3" s="7" t="s">
        <v>1</v>
      </c>
      <c r="B3" s="11" t="s">
        <v>128</v>
      </c>
      <c r="C3" s="9"/>
      <c r="D3" s="9"/>
      <c r="E3" s="9"/>
      <c r="F3" s="9"/>
      <c r="G3" s="9"/>
      <c r="H3" s="9"/>
    </row>
    <row r="4" s="1" customFormat="1" ht="15" spans="1:7">
      <c r="A4" s="7" t="s">
        <v>3</v>
      </c>
      <c r="B4" s="11" t="s">
        <v>4</v>
      </c>
      <c r="C4" s="4"/>
      <c r="D4" s="4"/>
      <c r="E4" s="4"/>
      <c r="F4" s="10"/>
      <c r="G4" s="10"/>
    </row>
    <row r="5" s="1" customFormat="1" ht="15" spans="1:7">
      <c r="A5" s="7" t="s">
        <v>5</v>
      </c>
      <c r="B5" s="11" t="s">
        <v>6</v>
      </c>
      <c r="C5" s="4"/>
      <c r="D5" s="4"/>
      <c r="E5" s="4"/>
      <c r="F5" s="10"/>
      <c r="G5" s="10"/>
    </row>
    <row r="6" s="1" customFormat="1" ht="15" spans="1:7">
      <c r="A6" s="7" t="s">
        <v>7</v>
      </c>
      <c r="B6" s="11" t="s">
        <v>76</v>
      </c>
      <c r="C6" s="4"/>
      <c r="D6" s="4"/>
      <c r="E6" s="4"/>
      <c r="F6" s="10"/>
      <c r="G6" s="10"/>
    </row>
    <row r="7" s="1" customFormat="1" ht="15" customHeight="1" spans="1:7">
      <c r="A7" s="7" t="s">
        <v>9</v>
      </c>
      <c r="B7" s="55" t="s">
        <v>10</v>
      </c>
      <c r="C7" s="4"/>
      <c r="D7" s="4"/>
      <c r="E7" s="4"/>
      <c r="F7" s="10"/>
      <c r="G7" s="10"/>
    </row>
    <row r="8" s="2" customFormat="1" ht="18" customHeight="1" spans="1:58">
      <c r="A8" s="1"/>
      <c r="B8" s="1"/>
      <c r="C8" s="4"/>
      <c r="D8" s="4"/>
      <c r="E8" s="4"/>
      <c r="F8" s="10"/>
      <c r="G8" s="10"/>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row>
    <row r="9" s="2" customFormat="1" ht="33.75" customHeight="1" spans="1:58">
      <c r="A9" s="13"/>
      <c r="B9" s="13"/>
      <c r="C9" s="13"/>
      <c r="D9" s="13"/>
      <c r="E9" s="13"/>
      <c r="F9" s="13"/>
      <c r="G9" s="13"/>
      <c r="H9" s="13"/>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row>
    <row r="10" s="2" customFormat="1" ht="74" customHeight="1" spans="1:58">
      <c r="A10" s="16" t="s">
        <v>11</v>
      </c>
      <c r="B10" s="16" t="s">
        <v>12</v>
      </c>
      <c r="C10" s="16" t="s">
        <v>13</v>
      </c>
      <c r="D10" s="16" t="s">
        <v>14</v>
      </c>
      <c r="E10" s="16" t="s">
        <v>15</v>
      </c>
      <c r="F10" s="56" t="s">
        <v>16</v>
      </c>
      <c r="G10" s="56" t="s">
        <v>17</v>
      </c>
      <c r="H10" s="16" t="s">
        <v>18</v>
      </c>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row>
    <row r="11" s="2" customFormat="1" ht="75" customHeight="1" spans="1:58">
      <c r="A11" s="57" t="s">
        <v>19</v>
      </c>
      <c r="B11" s="58" t="s">
        <v>20</v>
      </c>
      <c r="C11" s="59">
        <v>1</v>
      </c>
      <c r="D11" s="60"/>
      <c r="E11" s="61">
        <v>20</v>
      </c>
      <c r="F11" s="62"/>
      <c r="G11" s="63">
        <f t="shared" ref="G11:G15" si="0">(E11*F11)/5</f>
        <v>0</v>
      </c>
      <c r="H11" s="17" t="s">
        <v>21</v>
      </c>
      <c r="I11" s="52"/>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row>
    <row r="12" s="2" customFormat="1" ht="89" customHeight="1" spans="1:58">
      <c r="A12" s="57" t="s">
        <v>22</v>
      </c>
      <c r="B12" s="57" t="s">
        <v>23</v>
      </c>
      <c r="C12" s="59">
        <v>1</v>
      </c>
      <c r="D12" s="59"/>
      <c r="E12" s="64">
        <v>15</v>
      </c>
      <c r="F12" s="65"/>
      <c r="G12" s="63">
        <f t="shared" si="0"/>
        <v>0</v>
      </c>
      <c r="H12" s="66" t="s">
        <v>24</v>
      </c>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row>
    <row r="13" s="53" customFormat="1" ht="78" customHeight="1" spans="1:58">
      <c r="A13" s="57" t="s">
        <v>25</v>
      </c>
      <c r="B13" s="57" t="s">
        <v>26</v>
      </c>
      <c r="C13" s="59">
        <v>1</v>
      </c>
      <c r="D13" s="60"/>
      <c r="E13" s="61">
        <v>10</v>
      </c>
      <c r="F13" s="62"/>
      <c r="G13" s="63">
        <f t="shared" si="0"/>
        <v>0</v>
      </c>
      <c r="H13" s="67" t="s">
        <v>27</v>
      </c>
      <c r="I13" s="52"/>
      <c r="J13" s="52"/>
      <c r="K13" s="52"/>
      <c r="L13" s="52"/>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row>
    <row r="14" s="1" customFormat="1" ht="80" customHeight="1" spans="1:8">
      <c r="A14" s="57" t="s">
        <v>28</v>
      </c>
      <c r="B14" s="66" t="s">
        <v>29</v>
      </c>
      <c r="C14" s="68">
        <v>1</v>
      </c>
      <c r="D14" s="68"/>
      <c r="E14" s="69">
        <v>15</v>
      </c>
      <c r="F14" s="70"/>
      <c r="G14" s="63">
        <f t="shared" si="0"/>
        <v>0</v>
      </c>
      <c r="H14" s="17" t="s">
        <v>30</v>
      </c>
    </row>
    <row r="15" s="1" customFormat="1" ht="74" customHeight="1" spans="1:8">
      <c r="A15" s="57" t="s">
        <v>31</v>
      </c>
      <c r="B15" s="66" t="s">
        <v>32</v>
      </c>
      <c r="C15" s="71">
        <v>1</v>
      </c>
      <c r="D15" s="68"/>
      <c r="E15" s="69">
        <v>10</v>
      </c>
      <c r="F15" s="70"/>
      <c r="G15" s="63">
        <f t="shared" si="0"/>
        <v>0</v>
      </c>
      <c r="H15" s="17" t="s">
        <v>33</v>
      </c>
    </row>
    <row r="16" s="1" customFormat="1" ht="71" customHeight="1" spans="1:8">
      <c r="A16" s="72" t="s">
        <v>34</v>
      </c>
      <c r="B16" s="66" t="s">
        <v>35</v>
      </c>
      <c r="C16" s="68">
        <v>1</v>
      </c>
      <c r="D16" s="68"/>
      <c r="E16" s="69">
        <v>10</v>
      </c>
      <c r="F16" s="70"/>
      <c r="G16" s="63"/>
      <c r="H16" s="17" t="s">
        <v>36</v>
      </c>
    </row>
    <row r="17" s="1" customFormat="1" ht="74" customHeight="1" spans="1:8">
      <c r="A17" s="72" t="s">
        <v>37</v>
      </c>
      <c r="B17" s="72" t="s">
        <v>38</v>
      </c>
      <c r="C17" s="68">
        <v>1</v>
      </c>
      <c r="D17" s="68"/>
      <c r="E17" s="69">
        <v>10</v>
      </c>
      <c r="F17" s="70"/>
      <c r="G17" s="63"/>
      <c r="H17" s="17" t="s">
        <v>39</v>
      </c>
    </row>
    <row r="18" s="1" customFormat="1" ht="90" customHeight="1" spans="1:8">
      <c r="A18" s="73" t="s">
        <v>40</v>
      </c>
      <c r="B18" s="74" t="s">
        <v>41</v>
      </c>
      <c r="C18" s="68">
        <v>1</v>
      </c>
      <c r="D18" s="68"/>
      <c r="E18" s="69">
        <v>10</v>
      </c>
      <c r="F18" s="70"/>
      <c r="G18" s="75"/>
      <c r="H18" s="17" t="s">
        <v>42</v>
      </c>
    </row>
    <row r="19" s="1" customFormat="1" ht="31" customHeight="1" spans="1:8">
      <c r="A19" s="76" t="s">
        <v>43</v>
      </c>
      <c r="B19" s="77"/>
      <c r="C19" s="68"/>
      <c r="D19" s="68"/>
      <c r="E19" s="69">
        <f>SUM(E11:E18)</f>
        <v>100</v>
      </c>
      <c r="F19" s="70"/>
      <c r="G19" s="75">
        <f>(SUM(G11:G17))/90*5</f>
        <v>0</v>
      </c>
      <c r="H19" s="33" t="s">
        <v>44</v>
      </c>
    </row>
    <row r="20" s="1" customFormat="1" ht="33" customHeight="1" spans="1:8">
      <c r="A20" s="34"/>
      <c r="B20" s="34"/>
      <c r="C20" s="34"/>
      <c r="D20" s="34"/>
      <c r="E20" s="34"/>
      <c r="F20" s="34"/>
      <c r="G20" s="34"/>
      <c r="H20" s="34"/>
    </row>
    <row r="21" customFormat="1" ht="14.25" spans="1:58">
      <c r="A21" s="1"/>
      <c r="B21" s="4"/>
      <c r="C21" s="4"/>
      <c r="D21" s="4"/>
      <c r="E21" s="4"/>
      <c r="F21" s="5"/>
      <c r="G21" s="5"/>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row>
    <row r="22" s="54" customFormat="1" ht="25.5" spans="1:6">
      <c r="A22" s="35" t="s">
        <v>45</v>
      </c>
      <c r="B22" s="36" t="s">
        <v>46</v>
      </c>
      <c r="C22" s="78" t="s">
        <v>47</v>
      </c>
      <c r="D22" s="79"/>
      <c r="E22" s="79"/>
      <c r="F22" s="80" t="s">
        <v>48</v>
      </c>
    </row>
    <row r="23" s="1" customFormat="1" ht="20.25" spans="1:6">
      <c r="A23" s="40"/>
      <c r="B23" s="41"/>
      <c r="C23" s="42"/>
      <c r="D23" s="38"/>
      <c r="E23" s="38"/>
      <c r="F23" s="43"/>
    </row>
    <row r="24" s="3" customFormat="1" ht="16.5" customHeight="1" spans="4:58">
      <c r="D24" s="44"/>
      <c r="E24" s="44"/>
      <c r="F24" s="45"/>
      <c r="G24" s="45"/>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row>
    <row r="25" s="3" customFormat="1" ht="15" customHeight="1" spans="4:58">
      <c r="D25" s="44"/>
      <c r="E25" s="44"/>
      <c r="F25" s="45"/>
      <c r="G25" s="45"/>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row>
    <row r="26" s="3" customFormat="1" ht="15" spans="5:7">
      <c r="E26" s="44"/>
      <c r="F26" s="45"/>
      <c r="G26" s="45"/>
    </row>
    <row r="35" s="1" customFormat="1" ht="16.5" spans="3:7">
      <c r="C35" s="46" t="s">
        <v>49</v>
      </c>
      <c r="D35" s="46" t="s">
        <v>50</v>
      </c>
      <c r="E35" s="81"/>
      <c r="F35" s="5"/>
      <c r="G35" s="5"/>
    </row>
    <row r="36" s="1" customFormat="1" ht="14.25" spans="3:7">
      <c r="C36" s="46" t="s">
        <v>51</v>
      </c>
      <c r="D36" s="48" t="s">
        <v>52</v>
      </c>
      <c r="E36" s="48" t="s">
        <v>52</v>
      </c>
      <c r="F36" s="5"/>
      <c r="G36" s="5"/>
    </row>
    <row r="37" s="1" customFormat="1" ht="14.25" spans="3:7">
      <c r="C37" s="49">
        <v>5</v>
      </c>
      <c r="D37" s="50" t="s">
        <v>53</v>
      </c>
      <c r="E37" s="50" t="s">
        <v>54</v>
      </c>
      <c r="F37" s="5"/>
      <c r="G37" s="5"/>
    </row>
    <row r="38" s="1" customFormat="1" ht="14.25" spans="3:7">
      <c r="C38" s="49">
        <v>4</v>
      </c>
      <c r="D38" s="51" t="s">
        <v>55</v>
      </c>
      <c r="E38" s="50" t="s">
        <v>56</v>
      </c>
      <c r="F38" s="5"/>
      <c r="G38" s="5"/>
    </row>
    <row r="39" s="1" customFormat="1" ht="14.25" spans="3:7">
      <c r="C39" s="49">
        <v>3</v>
      </c>
      <c r="D39" s="51" t="s">
        <v>57</v>
      </c>
      <c r="E39" s="50" t="s">
        <v>58</v>
      </c>
      <c r="F39" s="5"/>
      <c r="G39" s="5"/>
    </row>
    <row r="40" s="1" customFormat="1" ht="28.5" spans="3:7">
      <c r="C40" s="49">
        <v>2</v>
      </c>
      <c r="D40" s="51" t="s">
        <v>59</v>
      </c>
      <c r="E40" s="50" t="s">
        <v>60</v>
      </c>
      <c r="F40" s="5"/>
      <c r="G40" s="5"/>
    </row>
    <row r="41" s="1" customFormat="1" ht="14.25" spans="3:7">
      <c r="C41" s="49">
        <v>1</v>
      </c>
      <c r="D41" s="51" t="s">
        <v>61</v>
      </c>
      <c r="E41" s="50" t="s">
        <v>62</v>
      </c>
      <c r="F41" s="5"/>
      <c r="G41" s="5"/>
    </row>
  </sheetData>
  <mergeCells count="3">
    <mergeCell ref="A9:H9"/>
    <mergeCell ref="A19:B19"/>
    <mergeCell ref="A1:H2"/>
  </mergeCells>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F41"/>
  <sheetViews>
    <sheetView topLeftCell="A15" workbookViewId="0">
      <selection activeCell="B10" sqref="B10"/>
    </sheetView>
  </sheetViews>
  <sheetFormatPr defaultColWidth="9.14166666666667" defaultRowHeight="12.75"/>
  <cols>
    <col min="1" max="1" width="45.9416666666667" style="1" customWidth="1"/>
    <col min="2" max="2" width="58.75" style="1" customWidth="1"/>
    <col min="3" max="3" width="21.4083333333333" style="4" customWidth="1"/>
    <col min="4" max="4" width="20.775" style="4" customWidth="1"/>
    <col min="5" max="5" width="23.9" style="4" customWidth="1"/>
    <col min="6" max="6" width="22.8166666666667" style="5" customWidth="1"/>
    <col min="7" max="7" width="29.375" style="5" customWidth="1"/>
    <col min="8" max="8" width="58.9" style="1" customWidth="1"/>
    <col min="9" max="9" width="11.7083333333333" style="1" customWidth="1"/>
    <col min="10" max="16384" width="9.14166666666667" style="1"/>
  </cols>
  <sheetData>
    <row r="1" s="1" customFormat="1" ht="22.5" customHeight="1" spans="1:8">
      <c r="A1" s="6" t="s">
        <v>0</v>
      </c>
      <c r="B1" s="6"/>
      <c r="C1" s="6"/>
      <c r="D1" s="6"/>
      <c r="E1" s="6"/>
      <c r="F1" s="6"/>
      <c r="G1" s="6"/>
      <c r="H1" s="6"/>
    </row>
    <row r="2" s="1" customFormat="1" ht="19" customHeight="1" spans="1:8">
      <c r="A2" s="6"/>
      <c r="B2" s="6"/>
      <c r="C2" s="6"/>
      <c r="D2" s="6"/>
      <c r="E2" s="6"/>
      <c r="F2" s="6"/>
      <c r="G2" s="6"/>
      <c r="H2" s="6"/>
    </row>
    <row r="3" s="1" customFormat="1" ht="13.5" customHeight="1" spans="1:8">
      <c r="A3" s="7" t="s">
        <v>1</v>
      </c>
      <c r="B3" s="11" t="s">
        <v>129</v>
      </c>
      <c r="C3" s="9"/>
      <c r="D3" s="9"/>
      <c r="E3" s="9"/>
      <c r="F3" s="9"/>
      <c r="G3" s="9"/>
      <c r="H3" s="9"/>
    </row>
    <row r="4" s="1" customFormat="1" ht="15" spans="1:7">
      <c r="A4" s="7" t="s">
        <v>3</v>
      </c>
      <c r="B4" s="11" t="s">
        <v>4</v>
      </c>
      <c r="C4" s="4"/>
      <c r="D4" s="4"/>
      <c r="E4" s="4"/>
      <c r="F4" s="10"/>
      <c r="G4" s="10"/>
    </row>
    <row r="5" s="1" customFormat="1" ht="15" spans="1:7">
      <c r="A5" s="7" t="s">
        <v>5</v>
      </c>
      <c r="B5" s="11" t="s">
        <v>6</v>
      </c>
      <c r="C5" s="4"/>
      <c r="D5" s="4"/>
      <c r="E5" s="4"/>
      <c r="F5" s="10"/>
      <c r="G5" s="10"/>
    </row>
    <row r="6" s="1" customFormat="1" ht="15" spans="1:7">
      <c r="A6" s="7" t="s">
        <v>7</v>
      </c>
      <c r="B6" s="11" t="s">
        <v>130</v>
      </c>
      <c r="C6" s="4"/>
      <c r="D6" s="4"/>
      <c r="E6" s="4"/>
      <c r="F6" s="10"/>
      <c r="G6" s="10"/>
    </row>
    <row r="7" s="1" customFormat="1" ht="15" customHeight="1" spans="1:7">
      <c r="A7" s="7" t="s">
        <v>9</v>
      </c>
      <c r="B7" s="55" t="s">
        <v>10</v>
      </c>
      <c r="C7" s="4"/>
      <c r="D7" s="4"/>
      <c r="E7" s="4"/>
      <c r="F7" s="10"/>
      <c r="G7" s="10"/>
    </row>
    <row r="8" s="2" customFormat="1" ht="18" customHeight="1" spans="1:58">
      <c r="A8" s="1"/>
      <c r="B8" s="1"/>
      <c r="C8" s="4"/>
      <c r="D8" s="4"/>
      <c r="E8" s="4"/>
      <c r="F8" s="10"/>
      <c r="G8" s="10"/>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row>
    <row r="9" s="2" customFormat="1" ht="33.75" customHeight="1" spans="1:58">
      <c r="A9" s="13"/>
      <c r="B9" s="13"/>
      <c r="C9" s="13"/>
      <c r="D9" s="13"/>
      <c r="E9" s="13"/>
      <c r="F9" s="13"/>
      <c r="G9" s="13"/>
      <c r="H9" s="13"/>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row>
    <row r="10" s="2" customFormat="1" ht="83" customHeight="1" spans="1:58">
      <c r="A10" s="16" t="s">
        <v>11</v>
      </c>
      <c r="B10" s="16" t="s">
        <v>12</v>
      </c>
      <c r="C10" s="16" t="s">
        <v>13</v>
      </c>
      <c r="D10" s="16" t="s">
        <v>14</v>
      </c>
      <c r="E10" s="16" t="s">
        <v>15</v>
      </c>
      <c r="F10" s="56" t="s">
        <v>16</v>
      </c>
      <c r="G10" s="56" t="s">
        <v>17</v>
      </c>
      <c r="H10" s="16" t="s">
        <v>18</v>
      </c>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row>
    <row r="11" s="2" customFormat="1" ht="75" customHeight="1" spans="1:58">
      <c r="A11" s="57" t="s">
        <v>19</v>
      </c>
      <c r="B11" s="58" t="s">
        <v>20</v>
      </c>
      <c r="C11" s="59">
        <v>1</v>
      </c>
      <c r="D11" s="60"/>
      <c r="E11" s="61">
        <v>20</v>
      </c>
      <c r="F11" s="62"/>
      <c r="G11" s="63">
        <f t="shared" ref="G11:G15" si="0">(E11*F11)/5</f>
        <v>0</v>
      </c>
      <c r="H11" s="17" t="s">
        <v>21</v>
      </c>
      <c r="I11" s="52"/>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row>
    <row r="12" s="2" customFormat="1" ht="89" customHeight="1" spans="1:58">
      <c r="A12" s="57" t="s">
        <v>22</v>
      </c>
      <c r="B12" s="57" t="s">
        <v>23</v>
      </c>
      <c r="C12" s="59">
        <v>1</v>
      </c>
      <c r="D12" s="59"/>
      <c r="E12" s="64">
        <v>15</v>
      </c>
      <c r="F12" s="65"/>
      <c r="G12" s="63">
        <f t="shared" si="0"/>
        <v>0</v>
      </c>
      <c r="H12" s="66" t="s">
        <v>24</v>
      </c>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row>
    <row r="13" s="53" customFormat="1" ht="78" customHeight="1" spans="1:58">
      <c r="A13" s="57" t="s">
        <v>25</v>
      </c>
      <c r="B13" s="57" t="s">
        <v>26</v>
      </c>
      <c r="C13" s="59">
        <v>1</v>
      </c>
      <c r="D13" s="60"/>
      <c r="E13" s="61">
        <v>10</v>
      </c>
      <c r="F13" s="62"/>
      <c r="G13" s="63">
        <f t="shared" si="0"/>
        <v>0</v>
      </c>
      <c r="H13" s="67" t="s">
        <v>27</v>
      </c>
      <c r="I13" s="52"/>
      <c r="J13" s="52"/>
      <c r="K13" s="52"/>
      <c r="L13" s="52"/>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row>
    <row r="14" s="1" customFormat="1" ht="80" customHeight="1" spans="1:8">
      <c r="A14" s="57" t="s">
        <v>28</v>
      </c>
      <c r="B14" s="66" t="s">
        <v>29</v>
      </c>
      <c r="C14" s="68">
        <v>1</v>
      </c>
      <c r="D14" s="68"/>
      <c r="E14" s="69">
        <v>15</v>
      </c>
      <c r="F14" s="70"/>
      <c r="G14" s="63">
        <f t="shared" si="0"/>
        <v>0</v>
      </c>
      <c r="H14" s="17" t="s">
        <v>30</v>
      </c>
    </row>
    <row r="15" s="1" customFormat="1" ht="74" customHeight="1" spans="1:8">
      <c r="A15" s="57" t="s">
        <v>31</v>
      </c>
      <c r="B15" s="66" t="s">
        <v>32</v>
      </c>
      <c r="C15" s="71">
        <v>1</v>
      </c>
      <c r="D15" s="68"/>
      <c r="E15" s="69">
        <v>10</v>
      </c>
      <c r="F15" s="70"/>
      <c r="G15" s="63">
        <f t="shared" si="0"/>
        <v>0</v>
      </c>
      <c r="H15" s="17" t="s">
        <v>33</v>
      </c>
    </row>
    <row r="16" s="1" customFormat="1" ht="71" customHeight="1" spans="1:8">
      <c r="A16" s="72" t="s">
        <v>34</v>
      </c>
      <c r="B16" s="66" t="s">
        <v>35</v>
      </c>
      <c r="C16" s="68">
        <v>1</v>
      </c>
      <c r="D16" s="68"/>
      <c r="E16" s="69">
        <v>10</v>
      </c>
      <c r="F16" s="70"/>
      <c r="G16" s="63"/>
      <c r="H16" s="17" t="s">
        <v>36</v>
      </c>
    </row>
    <row r="17" s="1" customFormat="1" ht="74" customHeight="1" spans="1:8">
      <c r="A17" s="72" t="s">
        <v>37</v>
      </c>
      <c r="B17" s="72" t="s">
        <v>38</v>
      </c>
      <c r="C17" s="68">
        <v>1</v>
      </c>
      <c r="D17" s="68"/>
      <c r="E17" s="69">
        <v>10</v>
      </c>
      <c r="F17" s="70"/>
      <c r="G17" s="63"/>
      <c r="H17" s="17" t="s">
        <v>39</v>
      </c>
    </row>
    <row r="18" s="1" customFormat="1" ht="90" customHeight="1" spans="1:8">
      <c r="A18" s="73" t="s">
        <v>40</v>
      </c>
      <c r="B18" s="74" t="s">
        <v>41</v>
      </c>
      <c r="C18" s="68">
        <v>1</v>
      </c>
      <c r="D18" s="68"/>
      <c r="E18" s="69">
        <v>10</v>
      </c>
      <c r="F18" s="70"/>
      <c r="G18" s="75"/>
      <c r="H18" s="17" t="s">
        <v>42</v>
      </c>
    </row>
    <row r="19" s="1" customFormat="1" ht="31" customHeight="1" spans="1:8">
      <c r="A19" s="76" t="s">
        <v>43</v>
      </c>
      <c r="B19" s="77"/>
      <c r="C19" s="68"/>
      <c r="D19" s="68"/>
      <c r="E19" s="69">
        <f>SUM(E11:E18)</f>
        <v>100</v>
      </c>
      <c r="F19" s="70"/>
      <c r="G19" s="75">
        <f>(SUM(G11:G17))/90*5</f>
        <v>0</v>
      </c>
      <c r="H19" s="33" t="s">
        <v>44</v>
      </c>
    </row>
    <row r="20" s="1" customFormat="1" ht="33" customHeight="1" spans="1:8">
      <c r="A20" s="34"/>
      <c r="B20" s="34"/>
      <c r="C20" s="34"/>
      <c r="D20" s="34"/>
      <c r="E20" s="34"/>
      <c r="F20" s="34"/>
      <c r="G20" s="34"/>
      <c r="H20" s="34"/>
    </row>
    <row r="21" customFormat="1" ht="14.25" spans="1:58">
      <c r="A21" s="1"/>
      <c r="B21" s="4"/>
      <c r="C21" s="4"/>
      <c r="D21" s="4"/>
      <c r="E21" s="4"/>
      <c r="F21" s="5"/>
      <c r="G21" s="5"/>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row>
    <row r="22" s="54" customFormat="1" ht="25.5" spans="1:6">
      <c r="A22" s="35" t="s">
        <v>45</v>
      </c>
      <c r="B22" s="36" t="s">
        <v>46</v>
      </c>
      <c r="C22" s="78" t="s">
        <v>47</v>
      </c>
      <c r="D22" s="79"/>
      <c r="E22" s="79"/>
      <c r="F22" s="80" t="s">
        <v>48</v>
      </c>
    </row>
    <row r="23" s="1" customFormat="1" ht="20.25" spans="1:6">
      <c r="A23" s="40"/>
      <c r="B23" s="41"/>
      <c r="C23" s="42"/>
      <c r="D23" s="38"/>
      <c r="E23" s="38"/>
      <c r="F23" s="43"/>
    </row>
    <row r="24" s="3" customFormat="1" ht="16.5" customHeight="1" spans="4:58">
      <c r="D24" s="44"/>
      <c r="E24" s="44"/>
      <c r="F24" s="45"/>
      <c r="G24" s="45"/>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row>
    <row r="25" s="3" customFormat="1" ht="15" customHeight="1" spans="4:58">
      <c r="D25" s="44"/>
      <c r="E25" s="44"/>
      <c r="F25" s="45"/>
      <c r="G25" s="45"/>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row>
    <row r="26" s="3" customFormat="1" ht="15" spans="5:7">
      <c r="E26" s="44"/>
      <c r="F26" s="45"/>
      <c r="G26" s="45"/>
    </row>
    <row r="35" s="1" customFormat="1" ht="16.5" spans="3:7">
      <c r="C35" s="46" t="s">
        <v>49</v>
      </c>
      <c r="D35" s="46" t="s">
        <v>50</v>
      </c>
      <c r="E35" s="81"/>
      <c r="F35" s="5"/>
      <c r="G35" s="5"/>
    </row>
    <row r="36" s="1" customFormat="1" ht="14.25" spans="3:7">
      <c r="C36" s="46" t="s">
        <v>51</v>
      </c>
      <c r="D36" s="48" t="s">
        <v>52</v>
      </c>
      <c r="E36" s="48" t="s">
        <v>52</v>
      </c>
      <c r="F36" s="5"/>
      <c r="G36" s="5"/>
    </row>
    <row r="37" s="1" customFormat="1" ht="14.25" spans="3:7">
      <c r="C37" s="49">
        <v>5</v>
      </c>
      <c r="D37" s="50" t="s">
        <v>53</v>
      </c>
      <c r="E37" s="50" t="s">
        <v>54</v>
      </c>
      <c r="F37" s="5"/>
      <c r="G37" s="5"/>
    </row>
    <row r="38" s="1" customFormat="1" ht="14.25" spans="3:7">
      <c r="C38" s="49">
        <v>4</v>
      </c>
      <c r="D38" s="51" t="s">
        <v>55</v>
      </c>
      <c r="E38" s="50" t="s">
        <v>56</v>
      </c>
      <c r="F38" s="5"/>
      <c r="G38" s="5"/>
    </row>
    <row r="39" s="1" customFormat="1" ht="14.25" spans="3:7">
      <c r="C39" s="49">
        <v>3</v>
      </c>
      <c r="D39" s="51" t="s">
        <v>57</v>
      </c>
      <c r="E39" s="50" t="s">
        <v>58</v>
      </c>
      <c r="F39" s="5"/>
      <c r="G39" s="5"/>
    </row>
    <row r="40" s="1" customFormat="1" ht="28.5" spans="3:7">
      <c r="C40" s="49">
        <v>2</v>
      </c>
      <c r="D40" s="51" t="s">
        <v>59</v>
      </c>
      <c r="E40" s="50" t="s">
        <v>60</v>
      </c>
      <c r="F40" s="5"/>
      <c r="G40" s="5"/>
    </row>
    <row r="41" s="1" customFormat="1" ht="14.25" spans="3:7">
      <c r="C41" s="49">
        <v>1</v>
      </c>
      <c r="D41" s="51" t="s">
        <v>61</v>
      </c>
      <c r="E41" s="50" t="s">
        <v>62</v>
      </c>
      <c r="F41" s="5"/>
      <c r="G41" s="5"/>
    </row>
  </sheetData>
  <mergeCells count="3">
    <mergeCell ref="A9:H9"/>
    <mergeCell ref="A19:B19"/>
    <mergeCell ref="A1:H2"/>
  </mergeCells>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F33"/>
  <sheetViews>
    <sheetView topLeftCell="A11" workbookViewId="0">
      <selection activeCell="B11" sqref="B11"/>
    </sheetView>
  </sheetViews>
  <sheetFormatPr defaultColWidth="9.14166666666667" defaultRowHeight="12.75"/>
  <cols>
    <col min="1" max="1" width="37.375" style="1" customWidth="1"/>
    <col min="2" max="2" width="40.75" style="1" customWidth="1"/>
    <col min="3" max="3" width="17.25" style="4" customWidth="1"/>
    <col min="4" max="4" width="12.75" style="4" customWidth="1"/>
    <col min="5" max="5" width="21.125" style="4" customWidth="1"/>
    <col min="6" max="6" width="21.75" style="5" customWidth="1"/>
    <col min="7" max="7" width="25.625" style="5" customWidth="1"/>
    <col min="8" max="8" width="59.225" style="1" customWidth="1"/>
    <col min="9" max="9" width="11.7083333333333" style="1" customWidth="1"/>
    <col min="10" max="16384" width="9.14166666666667" style="1"/>
  </cols>
  <sheetData>
    <row r="1" s="1" customFormat="1" ht="22.5" customHeight="1" spans="1:8">
      <c r="A1" s="6" t="s">
        <v>0</v>
      </c>
      <c r="B1" s="6"/>
      <c r="C1" s="6"/>
      <c r="D1" s="6"/>
      <c r="E1" s="6"/>
      <c r="F1" s="6"/>
      <c r="G1" s="6"/>
      <c r="H1" s="6"/>
    </row>
    <row r="2" s="1" customFormat="1" ht="10.5" customHeight="1" spans="1:8">
      <c r="A2" s="6"/>
      <c r="B2" s="6"/>
      <c r="C2" s="6"/>
      <c r="D2" s="6"/>
      <c r="E2" s="6"/>
      <c r="F2" s="6"/>
      <c r="G2" s="6"/>
      <c r="H2" s="6"/>
    </row>
    <row r="3" s="1" customFormat="1" ht="13.5" customHeight="1" spans="1:8">
      <c r="A3" s="7" t="s">
        <v>1</v>
      </c>
      <c r="B3" s="8" t="s">
        <v>131</v>
      </c>
      <c r="C3" s="9"/>
      <c r="D3" s="9"/>
      <c r="E3" s="9"/>
      <c r="F3" s="9"/>
      <c r="G3" s="9"/>
      <c r="H3" s="9"/>
    </row>
    <row r="4" s="1" customFormat="1" ht="15" spans="1:7">
      <c r="A4" s="7" t="s">
        <v>3</v>
      </c>
      <c r="B4" s="8" t="s">
        <v>64</v>
      </c>
      <c r="C4" s="4"/>
      <c r="D4" s="4"/>
      <c r="E4" s="4"/>
      <c r="F4" s="10"/>
      <c r="G4" s="10"/>
    </row>
    <row r="5" s="1" customFormat="1" ht="15" spans="1:7">
      <c r="A5" s="7" t="s">
        <v>5</v>
      </c>
      <c r="B5" s="8" t="s">
        <v>6</v>
      </c>
      <c r="C5" s="4"/>
      <c r="D5" s="4"/>
      <c r="E5" s="4"/>
      <c r="F5" s="10"/>
      <c r="G5" s="10"/>
    </row>
    <row r="6" s="1" customFormat="1" ht="15" spans="1:7">
      <c r="A6" s="7" t="s">
        <v>7</v>
      </c>
      <c r="B6" s="11" t="s">
        <v>8</v>
      </c>
      <c r="C6" s="4"/>
      <c r="D6" s="4"/>
      <c r="E6" s="4"/>
      <c r="F6" s="10"/>
      <c r="G6" s="10"/>
    </row>
    <row r="7" s="1" customFormat="1" ht="15" customHeight="1" spans="1:7">
      <c r="A7" s="7" t="s">
        <v>9</v>
      </c>
      <c r="B7" s="12" t="s">
        <v>10</v>
      </c>
      <c r="C7" s="4"/>
      <c r="D7" s="4"/>
      <c r="E7" s="4"/>
      <c r="F7" s="10"/>
      <c r="G7" s="10"/>
    </row>
    <row r="8" s="2" customFormat="1" ht="18" customHeight="1" spans="1:58">
      <c r="A8" s="1"/>
      <c r="B8" s="1"/>
      <c r="C8" s="4"/>
      <c r="D8" s="4"/>
      <c r="E8" s="4"/>
      <c r="F8" s="10"/>
      <c r="G8" s="10"/>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row>
    <row r="9" s="2" customFormat="1" ht="33.75" customHeight="1" spans="1:58">
      <c r="A9" s="13"/>
      <c r="B9" s="13"/>
      <c r="C9" s="13"/>
      <c r="D9" s="13"/>
      <c r="E9" s="13"/>
      <c r="F9" s="13"/>
      <c r="G9" s="13"/>
      <c r="H9" s="13"/>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row>
    <row r="10" s="2" customFormat="1" ht="89" customHeight="1" spans="1:58">
      <c r="A10" s="14" t="s">
        <v>11</v>
      </c>
      <c r="B10" s="14" t="s">
        <v>12</v>
      </c>
      <c r="C10" s="14" t="s">
        <v>13</v>
      </c>
      <c r="D10" s="14" t="s">
        <v>14</v>
      </c>
      <c r="E10" s="14" t="s">
        <v>15</v>
      </c>
      <c r="F10" s="15" t="s">
        <v>16</v>
      </c>
      <c r="G10" s="15" t="s">
        <v>17</v>
      </c>
      <c r="H10" s="16" t="s">
        <v>18</v>
      </c>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row>
    <row r="11" s="2" customFormat="1" ht="75" customHeight="1" spans="1:58">
      <c r="A11" s="17" t="s">
        <v>19</v>
      </c>
      <c r="B11" s="17" t="s">
        <v>20</v>
      </c>
      <c r="C11" s="18">
        <v>1</v>
      </c>
      <c r="D11" s="19"/>
      <c r="E11" s="20">
        <v>20</v>
      </c>
      <c r="F11" s="21">
        <v>0</v>
      </c>
      <c r="G11" s="20">
        <f t="shared" ref="G11:G15" si="0">(E11*F11)/5</f>
        <v>0</v>
      </c>
      <c r="H11" s="17" t="s">
        <v>21</v>
      </c>
      <c r="I11" s="52"/>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row>
    <row r="12" s="2" customFormat="1" ht="72" customHeight="1" spans="1:58">
      <c r="A12" s="17" t="s">
        <v>66</v>
      </c>
      <c r="B12" s="17" t="s">
        <v>67</v>
      </c>
      <c r="C12" s="18">
        <v>1</v>
      </c>
      <c r="D12" s="19"/>
      <c r="E12" s="20">
        <v>15</v>
      </c>
      <c r="F12" s="21">
        <v>0</v>
      </c>
      <c r="G12" s="20">
        <f t="shared" si="0"/>
        <v>0</v>
      </c>
      <c r="H12" s="17" t="s">
        <v>68</v>
      </c>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row>
    <row r="13" s="1" customFormat="1" ht="74" customHeight="1" spans="1:8">
      <c r="A13" s="22" t="s">
        <v>34</v>
      </c>
      <c r="B13" s="17" t="s">
        <v>35</v>
      </c>
      <c r="C13" s="23">
        <v>1</v>
      </c>
      <c r="D13" s="23"/>
      <c r="E13" s="24">
        <v>20</v>
      </c>
      <c r="F13" s="21">
        <v>0</v>
      </c>
      <c r="G13" s="20">
        <f t="shared" si="0"/>
        <v>0</v>
      </c>
      <c r="H13" s="17" t="s">
        <v>69</v>
      </c>
    </row>
    <row r="14" s="1" customFormat="1" ht="84" customHeight="1" spans="1:8">
      <c r="A14" s="17" t="s">
        <v>28</v>
      </c>
      <c r="B14" s="17" t="s">
        <v>29</v>
      </c>
      <c r="C14" s="23">
        <v>1</v>
      </c>
      <c r="D14" s="23"/>
      <c r="E14" s="24">
        <v>20</v>
      </c>
      <c r="F14" s="21">
        <v>0</v>
      </c>
      <c r="G14" s="20">
        <f t="shared" si="0"/>
        <v>0</v>
      </c>
      <c r="H14" s="17" t="s">
        <v>30</v>
      </c>
    </row>
    <row r="15" s="1" customFormat="1" ht="74" customHeight="1" spans="1:8">
      <c r="A15" s="22" t="s">
        <v>37</v>
      </c>
      <c r="B15" s="22" t="s">
        <v>38</v>
      </c>
      <c r="C15" s="23">
        <v>1</v>
      </c>
      <c r="D15" s="23"/>
      <c r="E15" s="24">
        <v>15</v>
      </c>
      <c r="F15" s="21">
        <v>0</v>
      </c>
      <c r="G15" s="20">
        <f t="shared" si="0"/>
        <v>0</v>
      </c>
      <c r="H15" s="17" t="s">
        <v>39</v>
      </c>
    </row>
    <row r="16" s="1" customFormat="1" ht="90" customHeight="1" spans="1:8">
      <c r="A16" s="22" t="s">
        <v>70</v>
      </c>
      <c r="B16" s="22" t="s">
        <v>41</v>
      </c>
      <c r="C16" s="23">
        <v>1</v>
      </c>
      <c r="D16" s="23"/>
      <c r="E16" s="24">
        <v>10</v>
      </c>
      <c r="F16" s="25"/>
      <c r="G16" s="26"/>
      <c r="H16" s="17" t="s">
        <v>42</v>
      </c>
    </row>
    <row r="17" s="1" customFormat="1" ht="33" customHeight="1" spans="1:8">
      <c r="A17" s="27" t="s">
        <v>43</v>
      </c>
      <c r="B17" s="28"/>
      <c r="C17" s="29"/>
      <c r="D17" s="29"/>
      <c r="E17" s="30">
        <f>SUM(E11:E16)</f>
        <v>100</v>
      </c>
      <c r="F17" s="31"/>
      <c r="G17" s="32">
        <f>(SUM(G11:G16))/90*5</f>
        <v>0</v>
      </c>
      <c r="H17" s="33"/>
    </row>
    <row r="18" s="1" customFormat="1" ht="33" customHeight="1" spans="1:8">
      <c r="A18" s="34"/>
      <c r="B18" s="34"/>
      <c r="C18" s="34"/>
      <c r="D18" s="34"/>
      <c r="E18" s="34"/>
      <c r="F18" s="34"/>
      <c r="G18" s="34"/>
      <c r="H18" s="34"/>
    </row>
    <row r="19" customFormat="1" ht="14.25" spans="1:58">
      <c r="A19" s="1"/>
      <c r="B19" s="4"/>
      <c r="C19" s="4"/>
      <c r="D19" s="4"/>
      <c r="E19" s="4"/>
      <c r="F19" s="5"/>
      <c r="G19" s="5"/>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row>
    <row r="20" s="1" customFormat="1" ht="20.25" spans="1:6">
      <c r="A20" s="35" t="s">
        <v>45</v>
      </c>
      <c r="B20" s="36" t="s">
        <v>46</v>
      </c>
      <c r="C20" s="37" t="s">
        <v>47</v>
      </c>
      <c r="D20" s="38"/>
      <c r="E20" s="38"/>
      <c r="F20" s="39" t="s">
        <v>48</v>
      </c>
    </row>
    <row r="21" s="1" customFormat="1" ht="20.25" spans="1:6">
      <c r="A21" s="40"/>
      <c r="B21" s="41"/>
      <c r="C21" s="42"/>
      <c r="D21" s="38"/>
      <c r="E21" s="38"/>
      <c r="F21" s="43"/>
    </row>
    <row r="22" s="3" customFormat="1" ht="16.5" customHeight="1" spans="4:58">
      <c r="D22" s="44"/>
      <c r="E22" s="44"/>
      <c r="F22" s="45"/>
      <c r="G22" s="45"/>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row>
    <row r="23" s="3" customFormat="1" ht="15" customHeight="1" spans="4:58">
      <c r="D23" s="44"/>
      <c r="E23" s="44"/>
      <c r="F23" s="45"/>
      <c r="G23" s="45"/>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row>
    <row r="24" s="3" customFormat="1" ht="15" spans="4:7">
      <c r="D24" s="44"/>
      <c r="E24" s="44"/>
      <c r="F24" s="45"/>
      <c r="G24" s="45"/>
    </row>
    <row r="27" s="1" customFormat="1" ht="16.5" spans="3:7">
      <c r="C27" s="46" t="s">
        <v>49</v>
      </c>
      <c r="D27" s="46" t="s">
        <v>50</v>
      </c>
      <c r="E27" s="47"/>
      <c r="F27" s="5"/>
      <c r="G27" s="5"/>
    </row>
    <row r="28" s="1" customFormat="1" ht="14.25" spans="3:7">
      <c r="C28" s="46" t="s">
        <v>51</v>
      </c>
      <c r="D28" s="48" t="s">
        <v>52</v>
      </c>
      <c r="E28" s="48" t="s">
        <v>52</v>
      </c>
      <c r="F28" s="5"/>
      <c r="G28" s="5"/>
    </row>
    <row r="29" s="1" customFormat="1" ht="14.25" spans="3:7">
      <c r="C29" s="49">
        <v>5</v>
      </c>
      <c r="D29" s="50" t="s">
        <v>53</v>
      </c>
      <c r="E29" s="50" t="s">
        <v>54</v>
      </c>
      <c r="F29" s="5"/>
      <c r="G29" s="5"/>
    </row>
    <row r="30" s="1" customFormat="1" ht="28.5" spans="3:7">
      <c r="C30" s="49">
        <v>4</v>
      </c>
      <c r="D30" s="51" t="s">
        <v>55</v>
      </c>
      <c r="E30" s="50" t="s">
        <v>56</v>
      </c>
      <c r="F30" s="5"/>
      <c r="G30" s="5"/>
    </row>
    <row r="31" s="1" customFormat="1" ht="28.5" spans="3:7">
      <c r="C31" s="49">
        <v>3</v>
      </c>
      <c r="D31" s="51" t="s">
        <v>57</v>
      </c>
      <c r="E31" s="50" t="s">
        <v>58</v>
      </c>
      <c r="F31" s="5"/>
      <c r="G31" s="5"/>
    </row>
    <row r="32" s="1" customFormat="1" ht="28.5" spans="3:7">
      <c r="C32" s="49">
        <v>2</v>
      </c>
      <c r="D32" s="51" t="s">
        <v>59</v>
      </c>
      <c r="E32" s="50" t="s">
        <v>60</v>
      </c>
      <c r="F32" s="5"/>
      <c r="G32" s="5"/>
    </row>
    <row r="33" s="1" customFormat="1" ht="28.5" spans="3:7">
      <c r="C33" s="49">
        <v>1</v>
      </c>
      <c r="D33" s="51" t="s">
        <v>61</v>
      </c>
      <c r="E33" s="50" t="s">
        <v>62</v>
      </c>
      <c r="F33" s="5"/>
      <c r="G33" s="5"/>
    </row>
  </sheetData>
  <mergeCells count="3">
    <mergeCell ref="A9:H9"/>
    <mergeCell ref="A17:B17"/>
    <mergeCell ref="A1:H2"/>
  </mergeCells>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L15" sqref="L15"/>
    </sheetView>
  </sheetViews>
  <sheetFormatPr defaultColWidth="9" defaultRowHeight="14.2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Senior Finance Objective KPI(2)</vt:lpstr>
      <vt:lpstr>Junior Finace Objectve KPI </vt:lpstr>
      <vt:lpstr>Showroom Head Abida</vt:lpstr>
      <vt:lpstr>Showroom head Nadia</vt:lpstr>
      <vt:lpstr>Showroom head Muna</vt:lpstr>
      <vt:lpstr>Hanson Showroo Head</vt:lpstr>
      <vt:lpstr>Wesila Digital</vt:lpstr>
      <vt:lpstr>አባይ ሉላ</vt:lpstr>
      <vt:lpstr>አብዱልፈታ ዲኖ</vt:lpstr>
      <vt:lpstr>ጋሻው  ታደሰ</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 hanseon</dc:creator>
  <cp:lastModifiedBy>HR</cp:lastModifiedBy>
  <dcterms:created xsi:type="dcterms:W3CDTF">2025-05-09T06:47:00Z</dcterms:created>
  <dcterms:modified xsi:type="dcterms:W3CDTF">2026-06-23T08:04:16Z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7A8A01F7E5B8441B8087BBD5D24A9FF2_12</vt:lpwstr>
  </property>
  <property fmtid="{D5CDD505-2E9C-101B-9397-08002B2CF9AE}" pid="3" name="KSOProductBuildVer">
    <vt:lpwstr>2057-12.2.0.23203</vt:lpwstr>
  </property>
</Properties>
</file>